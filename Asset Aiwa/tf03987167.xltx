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Administrator\Desktop\id-ID\"/>
    </mc:Choice>
  </mc:AlternateContent>
  <bookViews>
    <workbookView xWindow="0" yWindow="0" windowWidth="21600" windowHeight="9510" tabRatio="686"/>
  </bookViews>
  <sheets>
    <sheet name="Januari" sheetId="4" r:id="rId1"/>
    <sheet name="Februari" sheetId="5" r:id="rId2"/>
    <sheet name="Maret" sheetId="17" r:id="rId3"/>
    <sheet name="April" sheetId="18" r:id="rId4"/>
    <sheet name="Mei" sheetId="19" r:id="rId5"/>
    <sheet name="Juni" sheetId="20" r:id="rId6"/>
    <sheet name="Juli" sheetId="21" r:id="rId7"/>
    <sheet name="Agustus" sheetId="22" r:id="rId8"/>
    <sheet name="September" sheetId="23" r:id="rId9"/>
    <sheet name="Oktober" sheetId="24" r:id="rId10"/>
    <sheet name="November" sheetId="25" r:id="rId11"/>
    <sheet name="Desember" sheetId="15" r:id="rId12"/>
    <sheet name="Nama Karyawan" sheetId="16" r:id="rId13"/>
  </sheets>
  <definedNames>
    <definedName name="Judul_Absen_Karyawan">Januari!$B$1</definedName>
    <definedName name="Judul1">Januari[[#Headers],[Nama Karyawan]]</definedName>
    <definedName name="Judul10">Januari[[#Headers],[Nama Karyawan]]</definedName>
    <definedName name="Judul11">Januari[[#Headers],[Nama Karyawan]]</definedName>
    <definedName name="Judul12">Januari[[#Headers],[Nama Karyawan]]</definedName>
    <definedName name="Judul2">Februari[[#Headers],[Nama Karyawan]]</definedName>
    <definedName name="Judul3">Maret[[#Headers],[Nama Karyawan]]</definedName>
    <definedName name="Judul4">April[[#Headers],[Nama Karyawan]]</definedName>
    <definedName name="Judul5">Mei[[#Headers],[Nama Karyawan]]</definedName>
    <definedName name="Judul6">Januari[[#Headers],[Nama Karyawan]]</definedName>
    <definedName name="Judul7">Januari[[#Headers],[Nama Karyawan]]</definedName>
    <definedName name="Judul8">Januari[[#Headers],[Nama Karyawan]]</definedName>
    <definedName name="Judul9">Januari[[#Headers],[Nama Karyawan]]</definedName>
    <definedName name="JudulKolom13">NamaKaryawan[[#Headers],[Nama Karyawan]]</definedName>
    <definedName name="Kustomkunci1">Januari!$N$2</definedName>
    <definedName name="KustomKunci2">Januari!$R$2</definedName>
    <definedName name="LabelKustomKunci1">Januari!$O$2</definedName>
    <definedName name="LabelKustomKunci2">Januari!$S$2</definedName>
    <definedName name="LabelLiburanKunci">Januari!$D$2</definedName>
    <definedName name="LabelPribadiKunci">Januari!$H$2</definedName>
    <definedName name="LabelSakitKunci">Januari!$L$2</definedName>
    <definedName name="LiburanKunci">Januari!$C$2</definedName>
    <definedName name="Nama_kunci">Januari!$B$2</definedName>
    <definedName name="NamaBulan" localSheetId="7">Agustus!$B$4</definedName>
    <definedName name="NamaBulan" localSheetId="3">April!$B$4</definedName>
    <definedName name="NamaBulan" localSheetId="11">Desember!$B$4</definedName>
    <definedName name="NamaBulan" localSheetId="1">Februari!$B$4</definedName>
    <definedName name="NamaBulan" localSheetId="0">Januari!$B$4</definedName>
    <definedName name="NamaBulan" localSheetId="6">Juli!$B$4</definedName>
    <definedName name="NamaBulan" localSheetId="5">Juni!$B$4</definedName>
    <definedName name="NamaBulan" localSheetId="2">Maret!$B$4</definedName>
    <definedName name="NamaBulan" localSheetId="4">Mei!$B$4</definedName>
    <definedName name="NamaBulan" localSheetId="10">November!$B$4</definedName>
    <definedName name="NamaBulan" localSheetId="9">Oktober!$B$4</definedName>
    <definedName name="NamaBulan" localSheetId="8">September!$B$4</definedName>
    <definedName name="PribadiKunci">Januari!$G$2</definedName>
    <definedName name="_xlnm.Print_Titles" localSheetId="7">Agustus!$4:$6</definedName>
    <definedName name="_xlnm.Print_Titles" localSheetId="3">April!$4:$6</definedName>
    <definedName name="_xlnm.Print_Titles" localSheetId="11">Desember!$4:$6</definedName>
    <definedName name="_xlnm.Print_Titles" localSheetId="1">Februari!$4:$6</definedName>
    <definedName name="_xlnm.Print_Titles" localSheetId="0">Januari!$4:$6</definedName>
    <definedName name="_xlnm.Print_Titles" localSheetId="6">Juli!$4:$6</definedName>
    <definedName name="_xlnm.Print_Titles" localSheetId="5">Juni!$4:$6</definedName>
    <definedName name="_xlnm.Print_Titles" localSheetId="2">Maret!$4:$6</definedName>
    <definedName name="_xlnm.Print_Titles" localSheetId="4">Mei!$4:$6</definedName>
    <definedName name="_xlnm.Print_Titles" localSheetId="10">November!$4:$6</definedName>
    <definedName name="_xlnm.Print_Titles" localSheetId="9">Oktober!$4:$6</definedName>
    <definedName name="_xlnm.Print_Titles" localSheetId="8">September!$4:$6</definedName>
    <definedName name="SakitKunci">Januari!$K$2</definedName>
    <definedName name="TahunKalender">Januari!$AH$4</definedName>
  </definedNames>
  <calcPr calcId="162913"/>
</workbook>
</file>

<file path=xl/calcChain.xml><?xml version="1.0" encoding="utf-8"?>
<calcChain xmlns="http://schemas.openxmlformats.org/spreadsheetml/2006/main">
  <c r="AH8" i="15" l="1"/>
  <c r="AH9" i="15"/>
  <c r="AH10" i="15"/>
  <c r="AH11" i="15"/>
  <c r="AH7" i="15"/>
  <c r="AH8" i="25"/>
  <c r="AH9" i="25"/>
  <c r="AH10" i="25"/>
  <c r="AH11" i="25"/>
  <c r="AH8" i="24"/>
  <c r="AH9" i="24"/>
  <c r="AH10" i="24"/>
  <c r="AH11" i="24"/>
  <c r="AH7" i="24"/>
  <c r="AH8" i="23"/>
  <c r="AH9" i="23"/>
  <c r="AH10" i="23"/>
  <c r="AH11" i="23"/>
  <c r="AH8" i="22"/>
  <c r="AH9" i="22"/>
  <c r="AH10" i="22"/>
  <c r="AH11" i="22"/>
  <c r="AH7" i="22"/>
  <c r="AH8" i="21"/>
  <c r="AH9" i="21"/>
  <c r="AH10" i="21"/>
  <c r="AH11" i="21"/>
  <c r="AH7" i="21"/>
  <c r="AH8" i="20"/>
  <c r="AH9" i="20"/>
  <c r="AH10" i="20"/>
  <c r="AH11" i="20"/>
  <c r="AH7" i="20"/>
  <c r="AH8" i="19"/>
  <c r="AH9" i="19"/>
  <c r="AH10" i="19"/>
  <c r="AH11" i="19"/>
  <c r="AH7" i="19"/>
  <c r="AH8" i="17"/>
  <c r="AH9" i="17"/>
  <c r="AH10" i="17"/>
  <c r="AH11" i="17"/>
  <c r="AH7" i="17"/>
  <c r="AH8" i="5"/>
  <c r="AH9" i="5"/>
  <c r="AH10" i="5"/>
  <c r="AH11" i="5"/>
  <c r="AH7" i="5"/>
  <c r="AG5" i="17"/>
  <c r="AF5" i="17"/>
  <c r="AE5" i="17"/>
  <c r="AD5" i="17"/>
  <c r="AC5" i="17"/>
  <c r="AB5" i="17"/>
  <c r="AA5" i="17"/>
  <c r="Z5" i="17"/>
  <c r="Y5" i="17"/>
  <c r="X5" i="17"/>
  <c r="W5" i="17"/>
  <c r="V5" i="17"/>
  <c r="U5" i="17"/>
  <c r="T5" i="17"/>
  <c r="S5" i="17"/>
  <c r="R5" i="17"/>
  <c r="Q5" i="17"/>
  <c r="P5" i="17"/>
  <c r="O5" i="17"/>
  <c r="N5" i="17"/>
  <c r="M5" i="17"/>
  <c r="L5" i="17"/>
  <c r="K5" i="17"/>
  <c r="J5" i="17"/>
  <c r="I5" i="17"/>
  <c r="H5" i="17"/>
  <c r="G5" i="17"/>
  <c r="F5" i="17"/>
  <c r="E5" i="17"/>
  <c r="D5" i="17"/>
  <c r="C5" i="17"/>
  <c r="AH4" i="17"/>
  <c r="AF5" i="18"/>
  <c r="AE5" i="18"/>
  <c r="AD5" i="18"/>
  <c r="AC5" i="18"/>
  <c r="AB5" i="18"/>
  <c r="AA5" i="18"/>
  <c r="Z5" i="18"/>
  <c r="Y5" i="18"/>
  <c r="X5" i="18"/>
  <c r="W5" i="18"/>
  <c r="V5" i="18"/>
  <c r="U5" i="18"/>
  <c r="T5" i="18"/>
  <c r="S5" i="18"/>
  <c r="R5" i="18"/>
  <c r="Q5" i="18"/>
  <c r="P5" i="18"/>
  <c r="O5" i="18"/>
  <c r="N5" i="18"/>
  <c r="M5" i="18"/>
  <c r="L5" i="18"/>
  <c r="K5" i="18"/>
  <c r="J5" i="18"/>
  <c r="I5" i="18"/>
  <c r="H5" i="18"/>
  <c r="G5" i="18"/>
  <c r="F5" i="18"/>
  <c r="E5" i="18"/>
  <c r="D5" i="18"/>
  <c r="C5" i="18"/>
  <c r="AH4" i="18"/>
  <c r="AF5" i="20"/>
  <c r="AE5" i="20"/>
  <c r="AD5" i="20"/>
  <c r="AC5" i="20"/>
  <c r="AB5" i="20"/>
  <c r="AA5" i="20"/>
  <c r="Z5" i="20"/>
  <c r="Y5" i="20"/>
  <c r="X5" i="20"/>
  <c r="W5" i="20"/>
  <c r="V5" i="20"/>
  <c r="U5" i="20"/>
  <c r="T5" i="20"/>
  <c r="S5" i="20"/>
  <c r="R5" i="20"/>
  <c r="Q5" i="20"/>
  <c r="P5" i="20"/>
  <c r="O5" i="20"/>
  <c r="N5" i="20"/>
  <c r="M5" i="20"/>
  <c r="L5" i="20"/>
  <c r="K5" i="20"/>
  <c r="J5" i="20"/>
  <c r="I5" i="20"/>
  <c r="H5" i="20"/>
  <c r="G5" i="20"/>
  <c r="F5" i="20"/>
  <c r="E5" i="20"/>
  <c r="D5" i="20"/>
  <c r="C5" i="20"/>
  <c r="AH4" i="20"/>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AH4" i="21"/>
  <c r="AG5" i="22"/>
  <c r="AF5" i="22"/>
  <c r="AE5" i="22"/>
  <c r="AD5" i="22"/>
  <c r="AC5" i="22"/>
  <c r="AB5" i="22"/>
  <c r="AA5" i="22"/>
  <c r="Z5" i="22"/>
  <c r="Y5" i="22"/>
  <c r="X5" i="22"/>
  <c r="W5" i="22"/>
  <c r="V5" i="22"/>
  <c r="U5" i="22"/>
  <c r="T5" i="22"/>
  <c r="S5" i="22"/>
  <c r="R5" i="22"/>
  <c r="Q5" i="22"/>
  <c r="P5" i="22"/>
  <c r="O5" i="22"/>
  <c r="N5" i="22"/>
  <c r="M5" i="22"/>
  <c r="L5" i="22"/>
  <c r="K5" i="22"/>
  <c r="J5" i="22"/>
  <c r="I5" i="22"/>
  <c r="H5" i="22"/>
  <c r="G5" i="22"/>
  <c r="F5" i="22"/>
  <c r="E5" i="22"/>
  <c r="D5" i="22"/>
  <c r="C5" i="22"/>
  <c r="AH4" i="22"/>
  <c r="AF5" i="23"/>
  <c r="AE5" i="23"/>
  <c r="AD5" i="23"/>
  <c r="AC5" i="23"/>
  <c r="AB5" i="23"/>
  <c r="AA5" i="23"/>
  <c r="Z5" i="23"/>
  <c r="Y5" i="23"/>
  <c r="X5" i="23"/>
  <c r="W5" i="23"/>
  <c r="V5" i="23"/>
  <c r="U5" i="23"/>
  <c r="T5" i="23"/>
  <c r="S5" i="23"/>
  <c r="R5" i="23"/>
  <c r="Q5" i="23"/>
  <c r="P5" i="23"/>
  <c r="O5" i="23"/>
  <c r="N5" i="23"/>
  <c r="M5" i="23"/>
  <c r="L5" i="23"/>
  <c r="K5" i="23"/>
  <c r="J5" i="23"/>
  <c r="I5" i="23"/>
  <c r="H5" i="23"/>
  <c r="G5" i="23"/>
  <c r="F5" i="23"/>
  <c r="E5" i="23"/>
  <c r="D5" i="23"/>
  <c r="C5" i="23"/>
  <c r="AH4" i="23"/>
  <c r="AG5" i="24"/>
  <c r="AF5" i="24"/>
  <c r="AE5" i="24"/>
  <c r="AD5" i="24"/>
  <c r="AC5" i="24"/>
  <c r="AB5" i="24"/>
  <c r="AA5" i="24"/>
  <c r="Z5" i="24"/>
  <c r="Y5" i="24"/>
  <c r="X5" i="24"/>
  <c r="W5" i="24"/>
  <c r="V5" i="24"/>
  <c r="U5" i="24"/>
  <c r="T5" i="24"/>
  <c r="S5" i="24"/>
  <c r="R5" i="24"/>
  <c r="Q5" i="24"/>
  <c r="P5" i="24"/>
  <c r="O5" i="24"/>
  <c r="N5" i="24"/>
  <c r="M5" i="24"/>
  <c r="L5" i="24"/>
  <c r="K5" i="24"/>
  <c r="J5" i="24"/>
  <c r="I5" i="24"/>
  <c r="H5" i="24"/>
  <c r="G5" i="24"/>
  <c r="F5" i="24"/>
  <c r="E5" i="24"/>
  <c r="D5" i="24"/>
  <c r="C5" i="24"/>
  <c r="AH4" i="24"/>
  <c r="AF5" i="25"/>
  <c r="AE5" i="25"/>
  <c r="AD5" i="25"/>
  <c r="AC5" i="25"/>
  <c r="AB5" i="25"/>
  <c r="AA5" i="25"/>
  <c r="Z5" i="25"/>
  <c r="Y5" i="25"/>
  <c r="X5" i="25"/>
  <c r="W5" i="25"/>
  <c r="V5" i="25"/>
  <c r="U5" i="25"/>
  <c r="T5" i="25"/>
  <c r="S5" i="25"/>
  <c r="R5" i="25"/>
  <c r="Q5" i="25"/>
  <c r="P5" i="25"/>
  <c r="O5" i="25"/>
  <c r="N5" i="25"/>
  <c r="M5" i="25"/>
  <c r="L5" i="25"/>
  <c r="K5" i="25"/>
  <c r="J5" i="25"/>
  <c r="I5" i="25"/>
  <c r="H5" i="25"/>
  <c r="G5" i="25"/>
  <c r="F5" i="25"/>
  <c r="E5" i="25"/>
  <c r="D5" i="25"/>
  <c r="C5" i="25"/>
  <c r="AH4" i="25"/>
  <c r="AG5" i="15"/>
  <c r="AF5" i="15"/>
  <c r="AE5" i="15"/>
  <c r="AD5" i="15"/>
  <c r="AC5" i="15"/>
  <c r="AB5" i="15"/>
  <c r="AA5" i="15"/>
  <c r="Z5" i="15"/>
  <c r="Y5" i="15"/>
  <c r="X5" i="15"/>
  <c r="W5" i="15"/>
  <c r="V5" i="15"/>
  <c r="U5" i="15"/>
  <c r="T5" i="15"/>
  <c r="S5" i="15"/>
  <c r="R5" i="15"/>
  <c r="Q5" i="15"/>
  <c r="P5" i="15"/>
  <c r="O5" i="15"/>
  <c r="N5" i="15"/>
  <c r="M5" i="15"/>
  <c r="L5" i="15"/>
  <c r="K5" i="15"/>
  <c r="J5" i="15"/>
  <c r="I5" i="15"/>
  <c r="H5" i="15"/>
  <c r="G5" i="15"/>
  <c r="F5" i="15"/>
  <c r="E5" i="15"/>
  <c r="D5" i="15"/>
  <c r="C5" i="15"/>
  <c r="AH4" i="15"/>
  <c r="AG5" i="19"/>
  <c r="AF5" i="19"/>
  <c r="AE5" i="19"/>
  <c r="AD5" i="19"/>
  <c r="AC5" i="19"/>
  <c r="AB5" i="19"/>
  <c r="AA5" i="19"/>
  <c r="Z5" i="19"/>
  <c r="Y5" i="19"/>
  <c r="X5" i="19"/>
  <c r="W5" i="19"/>
  <c r="V5" i="19"/>
  <c r="U5" i="19"/>
  <c r="T5" i="19"/>
  <c r="S5" i="19"/>
  <c r="R5" i="19"/>
  <c r="Q5" i="19"/>
  <c r="P5" i="19"/>
  <c r="O5" i="19"/>
  <c r="N5" i="19"/>
  <c r="M5" i="19"/>
  <c r="L5" i="19"/>
  <c r="K5" i="19"/>
  <c r="J5" i="19"/>
  <c r="I5" i="19"/>
  <c r="H5" i="19"/>
  <c r="G5" i="19"/>
  <c r="F5" i="19"/>
  <c r="E5" i="19"/>
  <c r="D5" i="19"/>
  <c r="C5" i="19"/>
  <c r="AH4" i="19"/>
  <c r="AE5" i="5"/>
  <c r="AD5" i="5"/>
  <c r="AC5" i="5"/>
  <c r="AB5" i="5"/>
  <c r="AA5" i="5"/>
  <c r="Z5" i="5"/>
  <c r="Y5" i="5"/>
  <c r="X5" i="5"/>
  <c r="W5" i="5"/>
  <c r="V5" i="5"/>
  <c r="U5" i="5"/>
  <c r="T5" i="5"/>
  <c r="S5" i="5"/>
  <c r="R5" i="5"/>
  <c r="Q5" i="5"/>
  <c r="P5" i="5"/>
  <c r="O5" i="5"/>
  <c r="N5" i="5"/>
  <c r="M5" i="5"/>
  <c r="L5" i="5"/>
  <c r="K5" i="5"/>
  <c r="J5" i="5"/>
  <c r="I5" i="5"/>
  <c r="H5" i="5"/>
  <c r="G5" i="5"/>
  <c r="F5" i="5"/>
  <c r="E5" i="5"/>
  <c r="D5" i="5"/>
  <c r="C5" i="5"/>
  <c r="AH4" i="5"/>
  <c r="B1" i="5"/>
  <c r="B1" i="17"/>
  <c r="B1" i="18"/>
  <c r="B1" i="19"/>
  <c r="B1" i="21"/>
  <c r="B1" i="22"/>
  <c r="B1" i="23"/>
  <c r="B1" i="24"/>
  <c r="B1" i="25"/>
  <c r="B1" i="15"/>
  <c r="B1" i="20"/>
  <c r="AG12" i="4"/>
  <c r="AF12" i="4"/>
  <c r="AE12" i="4"/>
  <c r="AD12" i="4"/>
  <c r="AC12" i="4"/>
  <c r="AB12" i="4"/>
  <c r="AA12" i="4"/>
  <c r="Z12" i="4"/>
  <c r="Y12" i="4"/>
  <c r="X12" i="4"/>
  <c r="W12" i="4"/>
  <c r="V12" i="4"/>
  <c r="U12" i="4"/>
  <c r="T12" i="4"/>
  <c r="S12" i="4"/>
  <c r="R12" i="4"/>
  <c r="Q12" i="4"/>
  <c r="P12" i="4"/>
  <c r="O12" i="4"/>
  <c r="N12" i="4"/>
  <c r="M12" i="4"/>
  <c r="L12" i="4"/>
  <c r="K12" i="4"/>
  <c r="J12" i="4"/>
  <c r="I12" i="4"/>
  <c r="H12" i="4"/>
  <c r="G12" i="4"/>
  <c r="F12" i="4"/>
  <c r="E12" i="4"/>
  <c r="D12" i="4"/>
  <c r="C12" i="4"/>
  <c r="AH11" i="4"/>
  <c r="AH10" i="4"/>
  <c r="AH9" i="4"/>
  <c r="AH8" i="4"/>
  <c r="AH7" i="4"/>
  <c r="C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B12" i="15"/>
  <c r="B12" i="25"/>
  <c r="B12" i="24"/>
  <c r="B12" i="23"/>
  <c r="B12" i="22"/>
  <c r="B12" i="21"/>
  <c r="B12" i="20"/>
  <c r="B12" i="19"/>
  <c r="B12" i="18"/>
  <c r="B12" i="17"/>
  <c r="B12" i="5"/>
  <c r="B12" i="4"/>
  <c r="AG12" i="25" l="1"/>
  <c r="AF12" i="25"/>
  <c r="AE12" i="25"/>
  <c r="AD12" i="25"/>
  <c r="AC12" i="25"/>
  <c r="AB12" i="25"/>
  <c r="AA12" i="25"/>
  <c r="Z12" i="25"/>
  <c r="Y12" i="25"/>
  <c r="X12" i="25"/>
  <c r="W12" i="25"/>
  <c r="V12" i="25"/>
  <c r="U12" i="25"/>
  <c r="T12" i="25"/>
  <c r="S12" i="25"/>
  <c r="R12" i="25"/>
  <c r="Q12" i="25"/>
  <c r="P12" i="25"/>
  <c r="O12" i="25"/>
  <c r="N12" i="25"/>
  <c r="M12" i="25"/>
  <c r="L12" i="25"/>
  <c r="K12" i="25"/>
  <c r="J12" i="25"/>
  <c r="I12" i="25"/>
  <c r="H12" i="25"/>
  <c r="G12" i="25"/>
  <c r="F12" i="25"/>
  <c r="E12" i="25"/>
  <c r="D12" i="25"/>
  <c r="C12" i="25"/>
  <c r="AH7" i="25"/>
  <c r="AG12" i="24"/>
  <c r="AF12" i="24"/>
  <c r="AE12" i="24"/>
  <c r="AD12" i="24"/>
  <c r="AC12" i="24"/>
  <c r="AB12" i="24"/>
  <c r="AA12" i="24"/>
  <c r="Z12" i="24"/>
  <c r="Y12" i="24"/>
  <c r="X12" i="24"/>
  <c r="W12" i="24"/>
  <c r="V12" i="24"/>
  <c r="U12" i="24"/>
  <c r="T12" i="24"/>
  <c r="S12" i="24"/>
  <c r="R12" i="24"/>
  <c r="Q12" i="24"/>
  <c r="P12" i="24"/>
  <c r="O12" i="24"/>
  <c r="N12" i="24"/>
  <c r="M12" i="24"/>
  <c r="L12" i="24"/>
  <c r="K12" i="24"/>
  <c r="J12" i="24"/>
  <c r="I12" i="24"/>
  <c r="H12" i="24"/>
  <c r="G12" i="24"/>
  <c r="F12" i="24"/>
  <c r="E12" i="24"/>
  <c r="D12" i="24"/>
  <c r="C12" i="24"/>
  <c r="AG12" i="23"/>
  <c r="AF12" i="23"/>
  <c r="AE12" i="23"/>
  <c r="AD12" i="23"/>
  <c r="AC12" i="23"/>
  <c r="AB12" i="23"/>
  <c r="AA12" i="23"/>
  <c r="Z12" i="23"/>
  <c r="Y12" i="23"/>
  <c r="X12" i="23"/>
  <c r="W12" i="23"/>
  <c r="V12" i="23"/>
  <c r="U12" i="23"/>
  <c r="T12" i="23"/>
  <c r="S12" i="23"/>
  <c r="R12" i="23"/>
  <c r="Q12" i="23"/>
  <c r="P12" i="23"/>
  <c r="O12" i="23"/>
  <c r="N12" i="23"/>
  <c r="M12" i="23"/>
  <c r="L12" i="23"/>
  <c r="K12" i="23"/>
  <c r="J12" i="23"/>
  <c r="I12" i="23"/>
  <c r="H12" i="23"/>
  <c r="G12" i="23"/>
  <c r="F12" i="23"/>
  <c r="E12" i="23"/>
  <c r="D12" i="23"/>
  <c r="C12" i="23"/>
  <c r="AH7" i="23"/>
  <c r="AH12" i="23" s="1"/>
  <c r="AG12" i="22"/>
  <c r="AF12" i="22"/>
  <c r="AE12" i="22"/>
  <c r="AD12" i="22"/>
  <c r="AC12" i="22"/>
  <c r="AB12" i="22"/>
  <c r="AA12" i="22"/>
  <c r="Z12" i="22"/>
  <c r="Y12" i="22"/>
  <c r="X12" i="22"/>
  <c r="W12" i="22"/>
  <c r="V12" i="22"/>
  <c r="U12" i="22"/>
  <c r="T12" i="22"/>
  <c r="S12" i="22"/>
  <c r="R12" i="22"/>
  <c r="Q12" i="22"/>
  <c r="P12" i="22"/>
  <c r="O12" i="22"/>
  <c r="N12" i="22"/>
  <c r="M12" i="22"/>
  <c r="L12" i="22"/>
  <c r="K12" i="22"/>
  <c r="J12" i="22"/>
  <c r="I12" i="22"/>
  <c r="H12" i="22"/>
  <c r="G12" i="22"/>
  <c r="F12" i="22"/>
  <c r="E12" i="22"/>
  <c r="D12" i="22"/>
  <c r="C12" i="22"/>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D12" i="21"/>
  <c r="C12" i="21"/>
  <c r="AH12" i="21"/>
  <c r="AG12" i="20"/>
  <c r="AF12" i="20"/>
  <c r="AE12" i="20"/>
  <c r="AD12" i="20"/>
  <c r="AC12" i="20"/>
  <c r="AB12" i="20"/>
  <c r="AA12" i="20"/>
  <c r="Z12" i="20"/>
  <c r="Y12" i="20"/>
  <c r="X12" i="20"/>
  <c r="W12" i="20"/>
  <c r="V12" i="20"/>
  <c r="U12" i="20"/>
  <c r="T12" i="20"/>
  <c r="S12" i="20"/>
  <c r="R12" i="20"/>
  <c r="Q12" i="20"/>
  <c r="P12" i="20"/>
  <c r="O12" i="20"/>
  <c r="N12" i="20"/>
  <c r="M12" i="20"/>
  <c r="L12" i="20"/>
  <c r="K12" i="20"/>
  <c r="J12" i="20"/>
  <c r="I12" i="20"/>
  <c r="H12" i="20"/>
  <c r="G12" i="20"/>
  <c r="F12" i="20"/>
  <c r="E12" i="20"/>
  <c r="D12" i="20"/>
  <c r="C12" i="20"/>
  <c r="AG12" i="19"/>
  <c r="AF12" i="19"/>
  <c r="AE12" i="19"/>
  <c r="AD12" i="19"/>
  <c r="AC12" i="19"/>
  <c r="AB12" i="19"/>
  <c r="AA12" i="19"/>
  <c r="Z12" i="19"/>
  <c r="Y12" i="19"/>
  <c r="X12" i="19"/>
  <c r="W12" i="19"/>
  <c r="V12" i="19"/>
  <c r="U12" i="19"/>
  <c r="T12" i="19"/>
  <c r="S12" i="19"/>
  <c r="R12" i="19"/>
  <c r="Q12" i="19"/>
  <c r="P12" i="19"/>
  <c r="O12" i="19"/>
  <c r="N12" i="19"/>
  <c r="M12" i="19"/>
  <c r="L12" i="19"/>
  <c r="K12" i="19"/>
  <c r="J12" i="19"/>
  <c r="I12" i="19"/>
  <c r="H12" i="19"/>
  <c r="G12" i="19"/>
  <c r="F12" i="19"/>
  <c r="E12" i="19"/>
  <c r="D12" i="19"/>
  <c r="C12" i="19"/>
  <c r="AG12" i="18"/>
  <c r="AF12" i="18"/>
  <c r="AE12" i="18"/>
  <c r="AD12" i="18"/>
  <c r="AC12" i="18"/>
  <c r="AB12" i="18"/>
  <c r="AA12" i="18"/>
  <c r="Z12" i="18"/>
  <c r="Y12" i="18"/>
  <c r="X12" i="18"/>
  <c r="W12" i="18"/>
  <c r="V12" i="18"/>
  <c r="U12" i="18"/>
  <c r="T12" i="18"/>
  <c r="S12" i="18"/>
  <c r="R12" i="18"/>
  <c r="Q12" i="18"/>
  <c r="P12" i="18"/>
  <c r="O12" i="18"/>
  <c r="N12" i="18"/>
  <c r="M12" i="18"/>
  <c r="L12" i="18"/>
  <c r="K12" i="18"/>
  <c r="J12" i="18"/>
  <c r="I12" i="18"/>
  <c r="H12" i="18"/>
  <c r="G12" i="18"/>
  <c r="F12" i="18"/>
  <c r="E12" i="18"/>
  <c r="D12" i="18"/>
  <c r="C12" i="18"/>
  <c r="AH11" i="18"/>
  <c r="AH10" i="18"/>
  <c r="AH9" i="18"/>
  <c r="AH8" i="18"/>
  <c r="AH7" i="18"/>
  <c r="AH12" i="18" s="1"/>
  <c r="AG12" i="17"/>
  <c r="AF12" i="17"/>
  <c r="AE12" i="17"/>
  <c r="AD12" i="17"/>
  <c r="AC12" i="17"/>
  <c r="AB12" i="17"/>
  <c r="AA12" i="17"/>
  <c r="Z12" i="17"/>
  <c r="Y12" i="17"/>
  <c r="X12" i="17"/>
  <c r="W12" i="17"/>
  <c r="V12" i="17"/>
  <c r="U12" i="17"/>
  <c r="T12" i="17"/>
  <c r="S12" i="17"/>
  <c r="R12" i="17"/>
  <c r="Q12" i="17"/>
  <c r="P12" i="17"/>
  <c r="O12" i="17"/>
  <c r="N12" i="17"/>
  <c r="M12" i="17"/>
  <c r="L12" i="17"/>
  <c r="K12" i="17"/>
  <c r="J12" i="17"/>
  <c r="I12" i="17"/>
  <c r="H12" i="17"/>
  <c r="G12" i="17"/>
  <c r="F12" i="17"/>
  <c r="E12" i="17"/>
  <c r="D12" i="17"/>
  <c r="C12" i="17"/>
  <c r="AH12" i="17"/>
  <c r="AH12" i="22" l="1"/>
  <c r="AH12" i="25"/>
  <c r="AH12" i="20"/>
  <c r="AH12" i="19"/>
  <c r="AH12" i="24"/>
  <c r="AG12" i="15" l="1"/>
  <c r="AF12" i="15"/>
  <c r="AH12" i="15" l="1"/>
  <c r="C12" i="15"/>
  <c r="D12" i="15"/>
  <c r="E12" i="15"/>
  <c r="F12" i="15"/>
  <c r="G12" i="15"/>
  <c r="H12" i="15"/>
  <c r="I12" i="15"/>
  <c r="J12" i="15"/>
  <c r="K12" i="15"/>
  <c r="L12" i="15"/>
  <c r="M12" i="15"/>
  <c r="N12" i="15"/>
  <c r="O12" i="15"/>
  <c r="P12" i="15"/>
  <c r="Q12" i="15"/>
  <c r="R12" i="15"/>
  <c r="S12" i="15"/>
  <c r="T12" i="15"/>
  <c r="U12" i="15"/>
  <c r="V12" i="15"/>
  <c r="W12" i="15"/>
  <c r="X12" i="15"/>
  <c r="Y12" i="15"/>
  <c r="Z12" i="15"/>
  <c r="AA12" i="15"/>
  <c r="AB12" i="15"/>
  <c r="AC12" i="15"/>
  <c r="AD12" i="15"/>
  <c r="AE12" i="15"/>
  <c r="AE12" i="5" l="1"/>
  <c r="AD12" i="5"/>
  <c r="AC12" i="5"/>
  <c r="AB12" i="5"/>
  <c r="AA12" i="5"/>
  <c r="Z12" i="5"/>
  <c r="Y12" i="5"/>
  <c r="X12" i="5"/>
  <c r="W12" i="5"/>
  <c r="V12" i="5"/>
  <c r="U12" i="5"/>
  <c r="T12" i="5"/>
  <c r="S12" i="5"/>
  <c r="R12" i="5"/>
  <c r="Q12" i="5"/>
  <c r="P12" i="5"/>
  <c r="O12" i="5"/>
  <c r="N12" i="5"/>
  <c r="M12" i="5"/>
  <c r="L12" i="5"/>
  <c r="K12" i="5"/>
  <c r="J12" i="5"/>
  <c r="I12" i="5"/>
  <c r="H12" i="5"/>
  <c r="G12" i="5"/>
  <c r="F12" i="5"/>
  <c r="E12" i="5"/>
  <c r="D12" i="5"/>
  <c r="C12" i="5"/>
  <c r="AH12" i="5" l="1"/>
  <c r="AH12" i="4" l="1"/>
</calcChain>
</file>

<file path=xl/sharedStrings.xml><?xml version="1.0" encoding="utf-8"?>
<sst xmlns="http://schemas.openxmlformats.org/spreadsheetml/2006/main" count="643" uniqueCount="64">
  <si>
    <t>Jadwal Absen Karyawan</t>
  </si>
  <si>
    <t>Kunci Jenis Absen</t>
  </si>
  <si>
    <t>Januari</t>
  </si>
  <si>
    <t>Nama Karyawan</t>
  </si>
  <si>
    <t>Karyawan 1</t>
  </si>
  <si>
    <t>Karyawan 2</t>
  </si>
  <si>
    <t>Karyawan 3</t>
  </si>
  <si>
    <t>Karyawan 4</t>
  </si>
  <si>
    <t>Karyawan 5</t>
  </si>
  <si>
    <t>L</t>
  </si>
  <si>
    <t>Tanggal Absen</t>
  </si>
  <si>
    <t>1</t>
  </si>
  <si>
    <t>Liburan</t>
  </si>
  <si>
    <t>2</t>
  </si>
  <si>
    <t>3</t>
  </si>
  <si>
    <t>P</t>
  </si>
  <si>
    <t>4</t>
  </si>
  <si>
    <t>S</t>
  </si>
  <si>
    <t>5</t>
  </si>
  <si>
    <t>Pribadi</t>
  </si>
  <si>
    <t>6</t>
  </si>
  <si>
    <t>7</t>
  </si>
  <si>
    <t>8</t>
  </si>
  <si>
    <t>9</t>
  </si>
  <si>
    <t>Sakit</t>
  </si>
  <si>
    <t>10</t>
  </si>
  <si>
    <t>11</t>
  </si>
  <si>
    <t>12</t>
  </si>
  <si>
    <t>Kustom 1</t>
  </si>
  <si>
    <t>13</t>
  </si>
  <si>
    <t>14</t>
  </si>
  <si>
    <t>15</t>
  </si>
  <si>
    <t>16</t>
  </si>
  <si>
    <t>Kustom 2</t>
  </si>
  <si>
    <t>17</t>
  </si>
  <si>
    <t>18</t>
  </si>
  <si>
    <t>19</t>
  </si>
  <si>
    <t>20</t>
  </si>
  <si>
    <t>21</t>
  </si>
  <si>
    <t>22</t>
  </si>
  <si>
    <t>23</t>
  </si>
  <si>
    <t>24</t>
  </si>
  <si>
    <t>25</t>
  </si>
  <si>
    <t>26</t>
  </si>
  <si>
    <t>27</t>
  </si>
  <si>
    <t>28</t>
  </si>
  <si>
    <t>29</t>
  </si>
  <si>
    <t xml:space="preserve">30 </t>
  </si>
  <si>
    <t>31</t>
  </si>
  <si>
    <t>Masukkan tahun:</t>
  </si>
  <si>
    <t>Total Hari</t>
  </si>
  <si>
    <t>Februari</t>
  </si>
  <si>
    <t xml:space="preserve"> </t>
  </si>
  <si>
    <t xml:space="preserve">  </t>
  </si>
  <si>
    <t>Maret</t>
  </si>
  <si>
    <t>April</t>
  </si>
  <si>
    <t>Mei</t>
  </si>
  <si>
    <t>Juni</t>
  </si>
  <si>
    <t>Juli</t>
  </si>
  <si>
    <t>Agustus</t>
  </si>
  <si>
    <t>September</t>
  </si>
  <si>
    <t>Oktober</t>
  </si>
  <si>
    <t>November</t>
  </si>
  <si>
    <t>Desember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</si>
</sst>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26"/>
      <color theme="3" tint="-0.24994659260841701"/>
      <name val="Calibri"/>
      <family val="2"/>
      <scheme val="major"/>
    </font>
    <font>
      <b/>
      <sz val="18"/>
      <color theme="4" tint="-0.24994659260841701"/>
      <name val="Calibri"/>
      <family val="2"/>
      <scheme val="minor"/>
    </font>
    <font>
      <b/>
      <sz val="26"/>
      <color theme="3"/>
      <name val="Calibri"/>
      <family val="2"/>
      <scheme val="minor"/>
    </font>
    <font>
      <sz val="11"/>
      <color theme="4" tint="-0.499984740745262"/>
      <name val="Calibri"/>
      <family val="2"/>
      <scheme val="minor"/>
    </font>
  </fonts>
  <fills count="21">
    <fill>
      <patternFill patternType="none"/>
    </fill>
    <fill>
      <patternFill patternType="gray125"/>
    </fill>
    <fill>
      <patternFill patternType="solid">
        <fgColor theme="2"/>
        <bgColor indexed="64"/>
      </patternFill>
    </fill>
    <fill>
      <patternFill patternType="solid">
        <fgColor theme="7"/>
        <bgColor indexed="64"/>
      </patternFill>
    </fill>
    <fill>
      <patternFill patternType="solid">
        <fgColor theme="7" tint="0.79998168889431442"/>
        <bgColor indexed="65"/>
      </patternFill>
    </fill>
    <fill>
      <patternFill patternType="solid">
        <fgColor theme="7" tint="0.39997558519241921"/>
        <bgColor indexed="65"/>
      </patternFill>
    </fill>
    <fill>
      <patternFill patternType="solid">
        <fgColor theme="3" tint="0.79998168889431442"/>
        <bgColor indexed="64"/>
      </patternFill>
    </fill>
    <fill>
      <patternFill patternType="solid">
        <fgColor theme="3" tint="-0.24994659260841701"/>
        <bgColor indexed="64"/>
      </patternFill>
    </fill>
    <fill>
      <patternFill patternType="solid">
        <fgColor theme="3" tint="0.39994506668294322"/>
        <bgColor indexed="64"/>
      </patternFill>
    </fill>
    <fill>
      <patternFill patternType="solid">
        <fgColor theme="7" tint="0.59996337778862885"/>
        <bgColor indexed="64"/>
      </patternFill>
    </fill>
    <fill>
      <patternFill patternType="solid">
        <fgColor theme="5" tint="0.59999389629810485"/>
        <bgColor indexed="65"/>
      </patternFill>
    </fill>
    <fill>
      <patternFill patternType="solid">
        <fgColor theme="6"/>
      </patternFill>
    </fill>
    <fill>
      <patternFill patternType="solid">
        <fgColor theme="6" tint="0.59999389629810485"/>
        <bgColor indexed="65"/>
      </patternFill>
    </fill>
    <fill>
      <patternFill patternType="solid">
        <fgColor theme="6" tint="0.39997558519241921"/>
        <bgColor indexed="65"/>
      </patternFill>
    </fill>
    <fill>
      <patternFill patternType="solid">
        <fgColor theme="8" tint="0.59999389629810485"/>
        <bgColor indexed="65"/>
      </patternFill>
    </fill>
    <fill>
      <patternFill patternType="solid">
        <fgColor theme="4" tint="0.3999450666829432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rgb="FFF8E3E0"/>
        <bgColor indexed="64"/>
      </patternFill>
    </fill>
    <fill>
      <patternFill patternType="solid">
        <fgColor theme="5" tint="0.39994506668294322"/>
        <bgColor indexed="64"/>
      </patternFill>
    </fill>
    <fill>
      <patternFill patternType="solid">
        <fgColor theme="6" tint="0.59996337778862885"/>
        <bgColor indexed="64"/>
      </patternFill>
    </fill>
  </fills>
  <borders count="1">
    <border>
      <left/>
      <right/>
      <top/>
      <bottom/>
      <diagonal/>
    </border>
  </borders>
  <cellStyleXfs count="28">
    <xf numFmtId="0" fontId="0" fillId="0" borderId="0">
      <alignment horizontal="left" vertical="center"/>
    </xf>
    <xf numFmtId="0" fontId="7" fillId="0" borderId="0" applyNumberFormat="0" applyFill="0" applyBorder="0" applyProtection="0">
      <alignment vertical="top"/>
    </xf>
    <xf numFmtId="0" fontId="5" fillId="0" borderId="0" applyNumberFormat="0" applyFill="0" applyBorder="0" applyProtection="0">
      <alignment vertical="top"/>
    </xf>
    <xf numFmtId="0" fontId="6" fillId="2" borderId="0" applyNumberFormat="0" applyBorder="0" applyProtection="0">
      <alignment horizontal="center" vertical="center"/>
    </xf>
    <xf numFmtId="0" fontId="2" fillId="20" borderId="0" applyNumberFormat="0" applyProtection="0">
      <alignment horizontal="right" vertical="center" indent="1"/>
    </xf>
    <xf numFmtId="0" fontId="3" fillId="0" borderId="0" applyNumberFormat="0" applyFill="0" applyBorder="0" applyProtection="0">
      <alignment horizontal="left" vertical="center" indent="2"/>
    </xf>
    <xf numFmtId="0" fontId="4" fillId="3" borderId="0" applyNumberFormat="0" applyBorder="0" applyAlignment="0" applyProtection="0"/>
    <xf numFmtId="0" fontId="1" fillId="4" borderId="0" applyNumberFormat="0" applyBorder="0" applyProtection="0">
      <alignment horizontal="center" vertical="center"/>
    </xf>
    <xf numFmtId="0" fontId="2" fillId="9" borderId="0" applyNumberFormat="0" applyBorder="0" applyAlignment="0" applyProtection="0"/>
    <xf numFmtId="0" fontId="1" fillId="5" borderId="0" applyNumberFormat="0" applyBorder="0" applyAlignment="0" applyProtection="0"/>
    <xf numFmtId="0" fontId="4" fillId="7" borderId="0" applyNumberFormat="0" applyBorder="0" applyAlignment="0" applyProtection="0"/>
    <xf numFmtId="0" fontId="1" fillId="6" borderId="0" applyNumberFormat="0" applyBorder="0" applyAlignment="0" applyProtection="0"/>
    <xf numFmtId="0" fontId="2" fillId="15" borderId="0" applyNumberFormat="0" applyBorder="0" applyAlignment="0" applyProtection="0"/>
    <xf numFmtId="0" fontId="1" fillId="8" borderId="0" applyNumberFormat="0" applyBorder="0" applyAlignment="0" applyProtection="0"/>
    <xf numFmtId="0" fontId="4" fillId="15" borderId="0" applyNumberFormat="0" applyBorder="0" applyAlignment="0" applyProtection="0"/>
    <xf numFmtId="0" fontId="1" fillId="18" borderId="0" applyNumberFormat="0" applyBorder="0" applyAlignment="0" applyProtection="0"/>
    <xf numFmtId="0" fontId="2" fillId="17" borderId="0" applyNumberFormat="0" applyBorder="0" applyAlignment="0" applyProtection="0"/>
    <xf numFmtId="0" fontId="4" fillId="16" borderId="0" applyNumberFormat="0" applyBorder="0" applyAlignment="0" applyProtection="0"/>
    <xf numFmtId="0" fontId="4" fillId="19" borderId="0" applyNumberFormat="0" applyBorder="0" applyAlignment="0" applyProtection="0"/>
    <xf numFmtId="0" fontId="2" fillId="10" borderId="0" applyNumberFormat="0" applyBorder="0" applyAlignment="0" applyProtection="0"/>
    <xf numFmtId="0" fontId="4" fillId="11" borderId="0" applyNumberFormat="0" applyBorder="0" applyAlignment="0" applyProtection="0"/>
    <xf numFmtId="0" fontId="1" fillId="2" borderId="0" applyNumberFormat="0" applyBorder="0" applyAlignment="0" applyProtection="0"/>
    <xf numFmtId="0" fontId="2" fillId="12" borderId="0" applyNumberFormat="0" applyBorder="0" applyProtection="0">
      <alignment horizontal="left" vertical="center" indent="1"/>
    </xf>
    <xf numFmtId="0" fontId="2" fillId="13" borderId="0" applyNumberFormat="0" applyBorder="0" applyAlignment="0" applyProtection="0"/>
    <xf numFmtId="0" fontId="2" fillId="14" borderId="0" applyNumberFormat="0" applyBorder="0" applyAlignment="0" applyProtection="0"/>
    <xf numFmtId="1" fontId="1" fillId="0" borderId="0" applyFill="0" applyBorder="0" applyProtection="0">
      <alignment horizontal="center" vertical="center"/>
    </xf>
    <xf numFmtId="0" fontId="1" fillId="0" borderId="0" applyNumberFormat="0" applyFill="0" applyBorder="0">
      <alignment horizontal="left" vertical="center" wrapText="1" indent="2"/>
    </xf>
    <xf numFmtId="0" fontId="8" fillId="0" borderId="0">
      <alignment horizontal="center"/>
    </xf>
  </cellStyleXfs>
  <cellXfs count="25">
    <xf numFmtId="0" fontId="0" fillId="0" borderId="0" xfId="0">
      <alignment horizontal="left" vertical="center"/>
    </xf>
    <xf numFmtId="0" fontId="1" fillId="0" borderId="0" xfId="26">
      <alignment horizontal="left" vertical="center" wrapText="1" indent="2"/>
    </xf>
    <xf numFmtId="0" fontId="0" fillId="0" borderId="0" xfId="0" applyAlignment="1" applyProtection="1">
      <alignment horizontal="center" vertical="center"/>
    </xf>
    <xf numFmtId="0" fontId="0" fillId="0" borderId="0" xfId="0" applyFont="1" applyFill="1" applyBorder="1" applyAlignment="1" applyProtection="1">
      <alignment horizontal="center" vertical="center"/>
    </xf>
    <xf numFmtId="0" fontId="2" fillId="15" borderId="0" xfId="12" applyAlignment="1" applyProtection="1">
      <alignment horizontal="center" vertical="center"/>
    </xf>
    <xf numFmtId="0" fontId="2" fillId="10" borderId="0" xfId="19" applyAlignment="1" applyProtection="1">
      <alignment horizontal="center" vertical="center"/>
    </xf>
    <xf numFmtId="0" fontId="2" fillId="13" borderId="0" xfId="23" applyFont="1" applyAlignment="1" applyProtection="1">
      <alignment horizontal="center" vertical="center"/>
    </xf>
    <xf numFmtId="164" fontId="2" fillId="9" borderId="0" xfId="8" applyNumberFormat="1" applyFont="1" applyAlignment="1" applyProtection="1">
      <alignment horizontal="center" vertical="center"/>
    </xf>
    <xf numFmtId="164" fontId="2" fillId="14" borderId="0" xfId="24" applyNumberFormat="1" applyFont="1" applyAlignment="1" applyProtection="1">
      <alignment horizontal="center" vertical="center"/>
    </xf>
    <xf numFmtId="0" fontId="1" fillId="0" borderId="0" xfId="26" applyFill="1" applyBorder="1">
      <alignment horizontal="left" vertical="center" wrapText="1" indent="2"/>
    </xf>
    <xf numFmtId="1" fontId="1" fillId="0" borderId="0" xfId="25" applyFill="1" applyBorder="1" applyProtection="1">
      <alignment horizontal="center" vertical="center"/>
    </xf>
    <xf numFmtId="0" fontId="0" fillId="0" borderId="0" xfId="0" applyProtection="1">
      <alignment horizontal="left" vertical="center"/>
    </xf>
    <xf numFmtId="0" fontId="6" fillId="2" borderId="0" xfId="3" applyProtection="1">
      <alignment horizontal="center" vertical="center"/>
    </xf>
    <xf numFmtId="164" fontId="0" fillId="0" borderId="0" xfId="0" applyNumberFormat="1" applyFont="1" applyFill="1" applyBorder="1" applyAlignment="1" applyProtection="1">
      <alignment horizontal="center" vertical="center"/>
    </xf>
    <xf numFmtId="0" fontId="7" fillId="0" borderId="0" xfId="1" applyAlignment="1" applyProtection="1">
      <alignment vertical="top"/>
    </xf>
    <xf numFmtId="0" fontId="1" fillId="2" borderId="0" xfId="21" applyBorder="1" applyAlignment="1" applyProtection="1">
      <alignment horizontal="left" vertical="center" indent="1"/>
    </xf>
    <xf numFmtId="0" fontId="0" fillId="0" borderId="0" xfId="21" applyFont="1" applyFill="1" applyBorder="1" applyAlignment="1" applyProtection="1">
      <alignment horizontal="center" vertical="center"/>
    </xf>
    <xf numFmtId="0" fontId="1" fillId="0" borderId="0" xfId="26" applyFill="1" applyBorder="1" applyProtection="1">
      <alignment horizontal="left" vertical="center" wrapText="1" indent="2"/>
    </xf>
    <xf numFmtId="0" fontId="0" fillId="0" borderId="0" xfId="0" applyAlignment="1" applyProtection="1">
      <alignment horizontal="left" vertical="center" wrapText="1"/>
    </xf>
    <xf numFmtId="0" fontId="2" fillId="20" borderId="0" xfId="4" applyProtection="1">
      <alignment horizontal="right" vertical="center" indent="1"/>
    </xf>
    <xf numFmtId="0" fontId="8" fillId="0" borderId="0" xfId="27" applyProtection="1">
      <alignment horizontal="center"/>
    </xf>
    <xf numFmtId="0" fontId="0" fillId="0" borderId="0" xfId="0" applyFont="1" applyFill="1" applyBorder="1" applyAlignment="1" applyProtection="1">
      <alignment horizontal="left" vertical="center" indent="1"/>
    </xf>
    <xf numFmtId="0" fontId="7" fillId="0" borderId="0" xfId="1">
      <alignment vertical="top"/>
    </xf>
    <xf numFmtId="0" fontId="6" fillId="2" borderId="0" xfId="3" applyProtection="1">
      <alignment horizontal="center" vertical="center"/>
    </xf>
    <xf numFmtId="0" fontId="1" fillId="2" borderId="0" xfId="21" applyAlignment="1" applyProtection="1">
      <alignment horizontal="left" vertical="center"/>
    </xf>
  </cellXfs>
  <cellStyles count="28">
    <cellStyle name="20% - Aksen1" xfId="15" builtinId="30" customBuiltin="1"/>
    <cellStyle name="20% - Aksen3" xfId="21" builtinId="38" customBuiltin="1"/>
    <cellStyle name="20% - Aksen4" xfId="7" builtinId="42" customBuiltin="1"/>
    <cellStyle name="20% - Aksen6" xfId="11" builtinId="50" customBuiltin="1"/>
    <cellStyle name="40% - Aksen1" xfId="16" builtinId="31" customBuiltin="1"/>
    <cellStyle name="40% - Aksen2" xfId="19" builtinId="35" customBuiltin="1"/>
    <cellStyle name="40% - Aksen3" xfId="22" builtinId="39" customBuiltin="1"/>
    <cellStyle name="40% - Aksen4" xfId="8" builtinId="43" customBuiltin="1"/>
    <cellStyle name="40% - Aksen5" xfId="24" builtinId="47" customBuiltin="1"/>
    <cellStyle name="40% - Aksen6" xfId="12" builtinId="51" customBuiltin="1"/>
    <cellStyle name="60% - Aksen1" xfId="17" builtinId="32" customBuiltin="1"/>
    <cellStyle name="60% - Aksen3" xfId="23" builtinId="40" customBuiltin="1"/>
    <cellStyle name="60% - Aksen4" xfId="9" builtinId="44" customBuiltin="1"/>
    <cellStyle name="60% - Aksen6" xfId="13" builtinId="52" customBuiltin="1"/>
    <cellStyle name="Aksen1" xfId="14" builtinId="29" customBuiltin="1"/>
    <cellStyle name="Aksen2" xfId="18" builtinId="33" customBuiltin="1"/>
    <cellStyle name="Aksen3" xfId="20" builtinId="37" customBuiltin="1"/>
    <cellStyle name="Aksen4" xfId="6" builtinId="41" customBuiltin="1"/>
    <cellStyle name="Aksen6" xfId="10" builtinId="49" customBuiltin="1"/>
    <cellStyle name="Judul" xfId="1" builtinId="15" customBuiltin="1"/>
    <cellStyle name="Judul 1" xfId="2" builtinId="16" customBuiltin="1"/>
    <cellStyle name="Judul 2" xfId="3" builtinId="17" customBuiltin="1"/>
    <cellStyle name="Judul 3" xfId="4" builtinId="18" customBuiltin="1"/>
    <cellStyle name="Judul 4" xfId="5" builtinId="19" customBuiltin="1"/>
    <cellStyle name="Karyawan" xfId="26"/>
    <cellStyle name="Label" xfId="27"/>
    <cellStyle name="Normal" xfId="0" builtinId="0" customBuiltin="1"/>
    <cellStyle name="Total" xfId="25" builtinId="25" customBuiltin="1"/>
  </cellStyles>
  <dxfs count="902">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numFmt numFmtId="0" formatCode="General"/>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fill>
        <patternFill patternType="none">
          <fgColor indexed="64"/>
          <bgColor indexed="65"/>
        </patternFill>
      </fill>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0"/>
      </font>
      <border>
        <vertical/>
        <horizontal/>
      </border>
    </dxf>
    <dxf>
      <font>
        <b val="0"/>
        <i val="0"/>
        <color theme="3"/>
      </font>
      <border>
        <vertical/>
        <horizontal/>
      </border>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protection locked="1" hidden="0"/>
    </dxf>
    <dxf>
      <font>
        <b val="0"/>
        <i val="0"/>
        <strike val="0"/>
        <condense val="0"/>
        <extend val="0"/>
        <outline val="0"/>
        <shadow val="0"/>
        <u val="none"/>
        <vertAlign val="baseline"/>
        <sz val="11"/>
        <color theme="1"/>
        <name val="Calibri"/>
        <family val="2"/>
        <scheme val="minor"/>
      </font>
      <numFmt numFmtId="164" formatCode="0;0;"/>
      <fill>
        <patternFill patternType="none">
          <fgColor indexed="64"/>
          <bgColor indexed="65"/>
        </patternFill>
      </fill>
      <alignment horizontal="center"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bottom/>
      </border>
      <protection locked="1" hidden="0"/>
    </dxf>
    <dxf>
      <fill>
        <patternFill patternType="none">
          <fgColor indexed="64"/>
          <bgColor indexed="65"/>
        </patternFill>
      </fill>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ill>
        <patternFill patternType="solid">
          <bgColor theme="6" tint="0.79998168889431442"/>
        </patternFill>
      </fill>
      <border diagonalUp="0" diagonalDown="0">
        <left/>
        <right/>
        <top style="thin">
          <color theme="0" tint="-0.14996795556505021"/>
        </top>
        <bottom style="medium">
          <color theme="2" tint="-0.499984740745262"/>
        </bottom>
        <vertical/>
        <horizontal/>
      </border>
    </dxf>
    <dxf>
      <font>
        <color theme="1"/>
      </font>
      <fill>
        <patternFill patternType="solid">
          <bgColor theme="6" tint="0.79998168889431442"/>
        </patternFill>
      </fill>
      <border diagonalUp="0" diagonalDown="0">
        <left/>
        <right/>
        <top style="thin">
          <color theme="0" tint="-0.14993743705557422"/>
        </top>
        <bottom style="medium">
          <color theme="2" tint="-0.499984740745262"/>
        </bottom>
        <vertical/>
        <horizontal style="thin">
          <color theme="0" tint="-0.14993743705557422"/>
        </horizontal>
      </border>
    </dxf>
    <dxf>
      <font>
        <color theme="1"/>
      </font>
      <fill>
        <patternFill patternType="solid">
          <bgColor theme="2"/>
        </patternFill>
      </fill>
      <border diagonalUp="0" diagonalDown="0">
        <left/>
        <right/>
        <top/>
        <bottom style="thin">
          <color theme="0" tint="-0.14996795556505021"/>
        </bottom>
        <vertical/>
        <horizontal/>
      </border>
    </dxf>
    <dxf>
      <font>
        <color theme="1"/>
      </font>
      <fill>
        <patternFill patternType="none">
          <bgColor auto="1"/>
        </patternFill>
      </fill>
      <border diagonalUp="0" diagonalDown="0">
        <left/>
        <right/>
        <top style="thin">
          <color theme="0" tint="-0.14996795556505021"/>
        </top>
        <bottom style="thin">
          <color theme="0" tint="-0.14993743705557422"/>
        </bottom>
        <vertical/>
        <horizontal/>
      </border>
    </dxf>
    <dxf>
      <fill>
        <patternFill>
          <bgColor theme="0" tint="-0.14996795556505021"/>
        </patternFill>
      </fill>
      <border>
        <left style="thin">
          <color theme="0"/>
        </left>
        <right style="thin">
          <color theme="0"/>
        </right>
        <vertical style="thin">
          <color theme="0"/>
        </vertical>
      </border>
    </dxf>
    <dxf>
      <fill>
        <patternFill>
          <bgColor theme="0" tint="-4.9989318521683403E-2"/>
        </patternFill>
      </fill>
      <border>
        <left style="thin">
          <color theme="0"/>
        </left>
        <right style="thin">
          <color theme="0"/>
        </right>
        <vertical style="thin">
          <color theme="0"/>
        </vertical>
      </border>
    </dxf>
    <dxf>
      <fill>
        <patternFill>
          <bgColor theme="0" tint="-0.14996795556505021"/>
        </patternFill>
      </fill>
    </dxf>
    <dxf>
      <fill>
        <patternFill patternType="solid">
          <fgColor theme="4" tint="0.79992065187536243"/>
          <bgColor theme="0" tint="-4.9989318521683403E-2"/>
        </patternFill>
      </fill>
    </dxf>
    <dxf>
      <font>
        <color theme="1"/>
      </font>
      <fill>
        <patternFill patternType="none">
          <bgColor auto="1"/>
        </patternFill>
      </fill>
      <border diagonalUp="0" diagonalDown="0">
        <left/>
        <right/>
        <top/>
        <bottom style="thin">
          <color theme="0" tint="-0.14996795556505021"/>
        </bottom>
        <vertical/>
        <horizontal style="thin">
          <color theme="0" tint="-0.14996795556505021"/>
        </horizontal>
      </border>
    </dxf>
    <dxf>
      <font>
        <color theme="1"/>
      </font>
      <fill>
        <patternFill patternType="none">
          <bgColor auto="1"/>
        </patternFill>
      </fill>
      <border>
        <left/>
        <right/>
        <top style="thin">
          <color theme="2" tint="-9.9917600024414813E-2"/>
        </top>
        <bottom style="thin">
          <color theme="2" tint="-9.9948118533890809E-2"/>
        </bottom>
        <vertical/>
        <horizontal style="thin">
          <color theme="2" tint="-9.9917600024414813E-2"/>
        </horizontal>
      </border>
    </dxf>
    <dxf>
      <font>
        <color theme="1"/>
      </font>
      <fill>
        <patternFill>
          <bgColor theme="6" tint="0.79998168889431442"/>
        </patternFill>
      </fill>
      <border diagonalUp="0" diagonalDown="0">
        <left style="thin">
          <color theme="0"/>
        </left>
        <right style="thin">
          <color theme="0"/>
        </right>
        <top/>
        <bottom style="medium">
          <color theme="2" tint="-0.499984740745262"/>
        </bottom>
        <vertical style="thin">
          <color theme="0"/>
        </vertical>
        <horizontal/>
      </border>
    </dxf>
    <dxf>
      <font>
        <color theme="0"/>
      </font>
      <fill>
        <patternFill>
          <bgColor theme="3"/>
        </patternFill>
      </fill>
    </dxf>
    <dxf>
      <font>
        <color theme="1"/>
      </font>
      <border diagonalUp="0" diagonalDown="0">
        <left/>
        <right/>
        <top/>
        <bottom/>
        <vertical style="thin">
          <color theme="0"/>
        </vertical>
        <horizontal/>
      </border>
    </dxf>
  </dxfs>
  <tableStyles count="1" defaultTableStyle="Tabel Absen Karyawan" defaultPivotStyle="PivotStyleLight16">
    <tableStyle name="Tabel Absen Karyawan" pivot="0" count="13">
      <tableStyleElement type="wholeTable" dxfId="901"/>
      <tableStyleElement type="headerRow" dxfId="900"/>
      <tableStyleElement type="totalRow" dxfId="899"/>
      <tableStyleElement type="firstColumn" dxfId="898"/>
      <tableStyleElement type="lastColumn" dxfId="897"/>
      <tableStyleElement type="firstRowStripe" dxfId="896"/>
      <tableStyleElement type="secondRowStripe" dxfId="895"/>
      <tableStyleElement type="firstColumnStripe" dxfId="894"/>
      <tableStyleElement type="secondColumnStripe" dxfId="893"/>
      <tableStyleElement type="firstHeaderCell" dxfId="892"/>
      <tableStyleElement type="lastHeaderCell" dxfId="891"/>
      <tableStyleElement type="firstTotalCell" dxfId="890"/>
      <tableStyleElement type="lastTotalCell" dxfId="88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id="3" name="Januari" displayName="Januari" ref="B6:AH12" totalsRowCount="1" headerRowDxfId="883" dataDxfId="882" totalsRowDxfId="881">
  <autoFilter ref="B6:AH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autoFilter>
  <tableColumns count="33">
    <tableColumn id="1" name="Nama Karyawan" totalsRowFunction="custom" dataDxfId="880" totalsRowDxfId="879">
      <totalsRowFormula>NamaBulan&amp;" Total"</totalsRowFormula>
    </tableColumn>
    <tableColumn id="2" name="1" totalsRowFunction="custom" dataDxfId="878" totalsRowDxfId="877" dataCellStyle="Total">
      <totalsRowFormula>SUBTOTAL(103,Januari!$C$7:$C$11)</totalsRowFormula>
    </tableColumn>
    <tableColumn id="3" name="2" totalsRowFunction="custom" dataDxfId="876" totalsRowDxfId="875" dataCellStyle="Total">
      <totalsRowFormula>SUBTOTAL(103,Januari!$D$7:$D$11)</totalsRowFormula>
    </tableColumn>
    <tableColumn id="4" name="3" totalsRowFunction="custom" dataDxfId="874" totalsRowDxfId="873" dataCellStyle="Total">
      <totalsRowFormula>SUBTOTAL(103,Januari!$E$7:$E$11)</totalsRowFormula>
    </tableColumn>
    <tableColumn id="5" name="4" totalsRowFunction="custom" dataDxfId="872" totalsRowDxfId="871" dataCellStyle="Total">
      <totalsRowFormula>SUBTOTAL(103,Januari!$F$7:$F$11)</totalsRowFormula>
    </tableColumn>
    <tableColumn id="6" name="5" totalsRowFunction="custom" totalsRowDxfId="870" dataCellStyle="Total">
      <totalsRowFormula>SUBTOTAL(103,Januari!$G$7:$G$11)</totalsRowFormula>
    </tableColumn>
    <tableColumn id="7" name="6" totalsRowFunction="custom" dataDxfId="869" totalsRowDxfId="868" dataCellStyle="Total">
      <totalsRowFormula>SUBTOTAL(103,Januari!$H$7:$H$11)</totalsRowFormula>
    </tableColumn>
    <tableColumn id="8" name="7" totalsRowFunction="custom" dataDxfId="867" totalsRowDxfId="866" dataCellStyle="Total">
      <totalsRowFormula>SUBTOTAL(103,Januari!$I$7:$I$11)</totalsRowFormula>
    </tableColumn>
    <tableColumn id="9" name="8" totalsRowFunction="custom" dataDxfId="865" totalsRowDxfId="864" dataCellStyle="Total">
      <totalsRowFormula>SUBTOTAL(103,Januari!$J$7:$J$11)</totalsRowFormula>
    </tableColumn>
    <tableColumn id="10" name="9" totalsRowFunction="custom" dataDxfId="863" totalsRowDxfId="862" dataCellStyle="Total">
      <totalsRowFormula>SUBTOTAL(103,Januari!$K$7:$K$11)</totalsRowFormula>
    </tableColumn>
    <tableColumn id="11" name="10" totalsRowFunction="custom" dataDxfId="861" totalsRowDxfId="860" dataCellStyle="Total">
      <totalsRowFormula>SUBTOTAL(103,Januari!$L$7:$L$11)</totalsRowFormula>
    </tableColumn>
    <tableColumn id="12" name="11" totalsRowFunction="custom" dataDxfId="859" totalsRowDxfId="858" dataCellStyle="Total">
      <totalsRowFormula>SUBTOTAL(103,Januari!$M$7:$M$11)</totalsRowFormula>
    </tableColumn>
    <tableColumn id="13" name="12" totalsRowFunction="custom" dataDxfId="857" totalsRowDxfId="856" dataCellStyle="Total">
      <totalsRowFormula>SUBTOTAL(103,Januari!$N$7:$N$11)</totalsRowFormula>
    </tableColumn>
    <tableColumn id="14" name="13" totalsRowFunction="custom" dataDxfId="855" totalsRowDxfId="854" dataCellStyle="Total">
      <totalsRowFormula>SUBTOTAL(103,Januari!$O$7:$O$11)</totalsRowFormula>
    </tableColumn>
    <tableColumn id="15" name="14" totalsRowFunction="custom" dataDxfId="853" totalsRowDxfId="852" dataCellStyle="Total">
      <totalsRowFormula>SUBTOTAL(103,Januari!$P$7:$P$11)</totalsRowFormula>
    </tableColumn>
    <tableColumn id="16" name="15" totalsRowFunction="custom" dataDxfId="851" totalsRowDxfId="850" dataCellStyle="Total">
      <totalsRowFormula>SUBTOTAL(103,Januari!$Q$7:$Q$11)</totalsRowFormula>
    </tableColumn>
    <tableColumn id="17" name="16" totalsRowFunction="custom" dataDxfId="849" totalsRowDxfId="848" dataCellStyle="Total">
      <totalsRowFormula>SUBTOTAL(103,Januari!$R$7:$R$11)</totalsRowFormula>
    </tableColumn>
    <tableColumn id="18" name="17" totalsRowFunction="custom" dataDxfId="847" totalsRowDxfId="846" dataCellStyle="Total">
      <totalsRowFormula>SUBTOTAL(103,Januari!$S$7:$S$11)</totalsRowFormula>
    </tableColumn>
    <tableColumn id="19" name="18" totalsRowFunction="custom" dataDxfId="845" totalsRowDxfId="844" dataCellStyle="Total">
      <totalsRowFormula>SUBTOTAL(103,Januari!$T$7:$T$11)</totalsRowFormula>
    </tableColumn>
    <tableColumn id="20" name="19" totalsRowFunction="custom" dataDxfId="843" totalsRowDxfId="842" dataCellStyle="Total">
      <totalsRowFormula>SUBTOTAL(103,Januari!$U$7:$U$11)</totalsRowFormula>
    </tableColumn>
    <tableColumn id="21" name="20" totalsRowFunction="custom" dataDxfId="841" totalsRowDxfId="840" dataCellStyle="Total">
      <totalsRowFormula>SUBTOTAL(103,Januari!$V$7:$V$11)</totalsRowFormula>
    </tableColumn>
    <tableColumn id="22" name="21" totalsRowFunction="custom" dataDxfId="839" totalsRowDxfId="838" dataCellStyle="Total">
      <totalsRowFormula>SUBTOTAL(103,Januari!$W$7:$W$11)</totalsRowFormula>
    </tableColumn>
    <tableColumn id="23" name="22" totalsRowFunction="custom" dataDxfId="837" totalsRowDxfId="836" dataCellStyle="Total">
      <totalsRowFormula>SUBTOTAL(103,Januari!$X$7:$X$11)</totalsRowFormula>
    </tableColumn>
    <tableColumn id="24" name="23" totalsRowFunction="custom" dataDxfId="835" totalsRowDxfId="834" dataCellStyle="Total">
      <totalsRowFormula>SUBTOTAL(103,Januari!$Y$7:$Y$11)</totalsRowFormula>
    </tableColumn>
    <tableColumn id="25" name="24" totalsRowFunction="custom" dataDxfId="833" totalsRowDxfId="832" dataCellStyle="Total">
      <totalsRowFormula>SUBTOTAL(103,Januari!$Z$7:$Z$11)</totalsRowFormula>
    </tableColumn>
    <tableColumn id="26" name="25" totalsRowFunction="custom" dataDxfId="831" totalsRowDxfId="830" dataCellStyle="Total">
      <totalsRowFormula>SUBTOTAL(103,Januari!$AA$7:$AA$11)</totalsRowFormula>
    </tableColumn>
    <tableColumn id="27" name="26" totalsRowFunction="custom" dataDxfId="829" totalsRowDxfId="828" dataCellStyle="Total">
      <totalsRowFormula>SUBTOTAL(103,Januari!$AB$7:$AB$11)</totalsRowFormula>
    </tableColumn>
    <tableColumn id="28" name="27" totalsRowFunction="custom" dataDxfId="827" totalsRowDxfId="826" dataCellStyle="Total">
      <totalsRowFormula>SUBTOTAL(103,Januari!$AC$7:$AC$11)</totalsRowFormula>
    </tableColumn>
    <tableColumn id="29" name="28" totalsRowFunction="custom" dataDxfId="825" totalsRowDxfId="824" dataCellStyle="Total">
      <totalsRowFormula>SUBTOTAL(103,Januari!$AD$7:$AD$11)</totalsRowFormula>
    </tableColumn>
    <tableColumn id="30" name="29" totalsRowFunction="custom" dataDxfId="823" totalsRowDxfId="822" dataCellStyle="Total">
      <totalsRowFormula>SUBTOTAL(103,Januari!$AE$7:$AE$11)</totalsRowFormula>
    </tableColumn>
    <tableColumn id="31" name="30 " totalsRowFunction="custom" dataDxfId="821" totalsRowDxfId="820" dataCellStyle="Total">
      <totalsRowFormula>SUBTOTAL(103,Januari!$AF$7:$AF$11)</totalsRowFormula>
    </tableColumn>
    <tableColumn id="32" name="31" totalsRowFunction="custom" dataDxfId="819" totalsRowDxfId="818" dataCellStyle="Total">
      <totalsRowFormula>SUBTOTAL(103,Januari!$AG$7:$AG$11)</totalsRowFormula>
    </tableColumn>
    <tableColumn id="33" name="Total Hari" totalsRowFunction="sum" dataDxfId="817" totalsRowDxfId="816" dataCellStyle="Total">
      <calculatedColumnFormula>COUNTA(Januari!$C7:$AG7)</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2.xml><?xml version="1.0" encoding="utf-8"?>
<table xmlns="http://schemas.openxmlformats.org/spreadsheetml/2006/main" id="2" name="Februari" displayName="Februari" ref="B6:AH12" totalsRowCount="1" headerRowDxfId="808" dataDxfId="807" totalsRowDxfId="806">
  <tableColumns count="33">
    <tableColumn id="1" name="Nama Karyawan" totalsRowFunction="custom" dataDxfId="805" totalsRowDxfId="804">
      <totalsRowFormula>NamaBulan&amp;" Total"</totalsRowFormula>
    </tableColumn>
    <tableColumn id="2" name="1" totalsRowFunction="count" dataDxfId="803" totalsRowDxfId="802" dataCellStyle="Total"/>
    <tableColumn id="3" name="2" totalsRowFunction="count" dataDxfId="801" totalsRowDxfId="800" dataCellStyle="Total"/>
    <tableColumn id="4" name="3" totalsRowFunction="count" dataDxfId="799" totalsRowDxfId="798" dataCellStyle="Total"/>
    <tableColumn id="5" name="4" totalsRowFunction="count" dataDxfId="797" totalsRowDxfId="796" dataCellStyle="Total"/>
    <tableColumn id="6" name="5" totalsRowFunction="count" dataDxfId="795" totalsRowDxfId="794" dataCellStyle="Total"/>
    <tableColumn id="7" name="6" totalsRowFunction="count" dataDxfId="793" totalsRowDxfId="792" dataCellStyle="Total"/>
    <tableColumn id="8" name="7" totalsRowFunction="count" dataDxfId="791" totalsRowDxfId="790" dataCellStyle="Total"/>
    <tableColumn id="9" name="8" totalsRowFunction="count" dataDxfId="789" totalsRowDxfId="788" dataCellStyle="Total"/>
    <tableColumn id="10" name="9" totalsRowFunction="count" dataDxfId="787" totalsRowDxfId="786" dataCellStyle="Total"/>
    <tableColumn id="11" name="10" totalsRowFunction="count" dataDxfId="785" totalsRowDxfId="784" dataCellStyle="Total"/>
    <tableColumn id="12" name="11" totalsRowFunction="count" dataDxfId="783" totalsRowDxfId="782" dataCellStyle="Total"/>
    <tableColumn id="13" name="12" totalsRowFunction="count" dataDxfId="781" totalsRowDxfId="780" dataCellStyle="Total"/>
    <tableColumn id="14" name="13" totalsRowFunction="count" dataDxfId="779" totalsRowDxfId="778" dataCellStyle="Total"/>
    <tableColumn id="15" name="14" totalsRowFunction="count" dataDxfId="777" totalsRowDxfId="776" dataCellStyle="Total"/>
    <tableColumn id="16" name="15" totalsRowFunction="count" dataDxfId="775" totalsRowDxfId="774" dataCellStyle="Total"/>
    <tableColumn id="17" name="16" totalsRowFunction="count" dataDxfId="773" totalsRowDxfId="772" dataCellStyle="Total"/>
    <tableColumn id="18" name="17" totalsRowFunction="count" dataDxfId="771" totalsRowDxfId="770" dataCellStyle="Total"/>
    <tableColumn id="19" name="18" totalsRowFunction="count" dataDxfId="769" totalsRowDxfId="768" dataCellStyle="Total"/>
    <tableColumn id="20" name="19" totalsRowFunction="count" dataDxfId="767" totalsRowDxfId="766" dataCellStyle="Total"/>
    <tableColumn id="21" name="20" totalsRowFunction="count" dataDxfId="765" totalsRowDxfId="764" dataCellStyle="Total"/>
    <tableColumn id="22" name="21" totalsRowFunction="count" dataDxfId="763" totalsRowDxfId="762" dataCellStyle="Total"/>
    <tableColumn id="23" name="22" totalsRowFunction="count" dataDxfId="761" totalsRowDxfId="760" dataCellStyle="Total"/>
    <tableColumn id="24" name="23" totalsRowFunction="count" dataDxfId="759" totalsRowDxfId="758" dataCellStyle="Total"/>
    <tableColumn id="25" name="24" totalsRowFunction="count" dataDxfId="757" totalsRowDxfId="756" dataCellStyle="Total"/>
    <tableColumn id="26" name="25" totalsRowFunction="count" dataDxfId="755" totalsRowDxfId="754" dataCellStyle="Total"/>
    <tableColumn id="27" name="26" totalsRowFunction="count" dataDxfId="753" totalsRowDxfId="752" dataCellStyle="Total"/>
    <tableColumn id="28" name="27" totalsRowFunction="count" dataDxfId="751" totalsRowDxfId="750" dataCellStyle="Total"/>
    <tableColumn id="29" name="28" totalsRowFunction="count" dataDxfId="749" totalsRowDxfId="748" dataCellStyle="Total"/>
    <tableColumn id="30" name="29" totalsRowFunction="count" dataDxfId="747" totalsRowDxfId="746" dataCellStyle="Total"/>
    <tableColumn id="31" name=" " dataDxfId="745" totalsRowDxfId="744" dataCellStyle="Total"/>
    <tableColumn id="32" name="  " dataDxfId="743" totalsRowDxfId="742" dataCellStyle="Total"/>
    <tableColumn id="33" name="Total Hari" totalsRowFunction="sum" dataDxfId="741" totalsRowDxfId="740" dataCellStyle="Total">
      <calculatedColumnFormula>COUNTA(Februari[[#This Row],[1]:[29]])</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3.xml><?xml version="1.0" encoding="utf-8"?>
<table xmlns="http://schemas.openxmlformats.org/spreadsheetml/2006/main" id="14" name="Maret" displayName="Maret" ref="B6:AH12" totalsRowCount="1" headerRowDxfId="734" dataDxfId="733" totalsRowDxfId="732">
  <tableColumns count="33">
    <tableColumn id="1" name="Nama Karyawan" totalsRowFunction="custom" dataDxfId="731" totalsRowDxfId="730">
      <totalsRowFormula>NamaBulan&amp;" Total"</totalsRowFormula>
    </tableColumn>
    <tableColumn id="2" name="1" totalsRowFunction="count" dataDxfId="729" totalsRowDxfId="728"/>
    <tableColumn id="3" name="2" totalsRowFunction="count" dataDxfId="727" totalsRowDxfId="726"/>
    <tableColumn id="4" name="3" totalsRowFunction="count" dataDxfId="725" totalsRowDxfId="724"/>
    <tableColumn id="5" name="4" totalsRowFunction="count" dataDxfId="723" totalsRowDxfId="722"/>
    <tableColumn id="6" name="5" totalsRowFunction="count" dataDxfId="721" totalsRowDxfId="720"/>
    <tableColumn id="7" name="6" totalsRowFunction="count" dataDxfId="719" totalsRowDxfId="718"/>
    <tableColumn id="8" name="7" totalsRowFunction="count" dataDxfId="717" totalsRowDxfId="716"/>
    <tableColumn id="9" name="8" totalsRowFunction="count" dataDxfId="715" totalsRowDxfId="714"/>
    <tableColumn id="10" name="9" totalsRowFunction="count" dataDxfId="713" totalsRowDxfId="712"/>
    <tableColumn id="11" name="10" totalsRowFunction="count" dataDxfId="711" totalsRowDxfId="710"/>
    <tableColumn id="12" name="11" totalsRowFunction="count" dataDxfId="709" totalsRowDxfId="708"/>
    <tableColumn id="13" name="12" totalsRowFunction="count" dataDxfId="707" totalsRowDxfId="706"/>
    <tableColumn id="14" name="13" totalsRowFunction="count" dataDxfId="705" totalsRowDxfId="704"/>
    <tableColumn id="15" name="14" totalsRowFunction="count" dataDxfId="703" totalsRowDxfId="702"/>
    <tableColumn id="16" name="15" totalsRowFunction="count" dataDxfId="701" totalsRowDxfId="700"/>
    <tableColumn id="17" name="16" totalsRowFunction="count" dataDxfId="699" totalsRowDxfId="698"/>
    <tableColumn id="18" name="17" totalsRowFunction="count" dataDxfId="697" totalsRowDxfId="696"/>
    <tableColumn id="19" name="18" totalsRowFunction="count" dataDxfId="695" totalsRowDxfId="694"/>
    <tableColumn id="20" name="19" totalsRowFunction="count" dataDxfId="693" totalsRowDxfId="692"/>
    <tableColumn id="21" name="20" totalsRowFunction="count" dataDxfId="691" totalsRowDxfId="690"/>
    <tableColumn id="22" name="21" totalsRowFunction="count" dataDxfId="689" totalsRowDxfId="688"/>
    <tableColumn id="23" name="22" totalsRowFunction="count" dataDxfId="687" totalsRowDxfId="686"/>
    <tableColumn id="24" name="23" totalsRowFunction="count" dataDxfId="685" totalsRowDxfId="684"/>
    <tableColumn id="25" name="24" totalsRowFunction="count" dataDxfId="683" totalsRowDxfId="682"/>
    <tableColumn id="26" name="25" totalsRowFunction="count" dataDxfId="681" totalsRowDxfId="680"/>
    <tableColumn id="27" name="26" totalsRowFunction="count" dataDxfId="679" totalsRowDxfId="678"/>
    <tableColumn id="28" name="27" totalsRowFunction="count" dataDxfId="677" totalsRowDxfId="676"/>
    <tableColumn id="29" name="28" totalsRowFunction="count" dataDxfId="675" totalsRowDxfId="674"/>
    <tableColumn id="30" name="29" totalsRowFunction="count" dataDxfId="673" totalsRowDxfId="672"/>
    <tableColumn id="31" name="30 " totalsRowFunction="sum" dataDxfId="671" totalsRowDxfId="670"/>
    <tableColumn id="32" name="31" totalsRowFunction="sum" dataDxfId="669" totalsRowDxfId="668" dataCellStyle="Total"/>
    <tableColumn id="33" name="Total Hari" totalsRowFunction="sum" dataDxfId="667" totalsRowDxfId="666" dataCellStyle="Total">
      <calculatedColumnFormula>COUNTA(Maret[[#This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4.xml><?xml version="1.0" encoding="utf-8"?>
<table xmlns="http://schemas.openxmlformats.org/spreadsheetml/2006/main" id="15" name="April" displayName="April" ref="B6:AH12" totalsRowCount="1" headerRowDxfId="660" dataDxfId="659" totalsRowDxfId="658">
  <tableColumns count="33">
    <tableColumn id="1" name="Nama Karyawan" totalsRowFunction="custom" dataDxfId="657" totalsRowDxfId="656">
      <totalsRowFormula>NamaBulan&amp;" Total"</totalsRowFormula>
    </tableColumn>
    <tableColumn id="2" name="1" totalsRowFunction="count" dataDxfId="655" totalsRowDxfId="654"/>
    <tableColumn id="3" name="2" totalsRowFunction="count" dataDxfId="653" totalsRowDxfId="652"/>
    <tableColumn id="4" name="3" totalsRowFunction="count" dataDxfId="651" totalsRowDxfId="650"/>
    <tableColumn id="5" name="4" totalsRowFunction="count" dataDxfId="649" totalsRowDxfId="648"/>
    <tableColumn id="6" name="5" totalsRowFunction="count" dataDxfId="647" totalsRowDxfId="646"/>
    <tableColumn id="7" name="6" totalsRowFunction="count" dataDxfId="645" totalsRowDxfId="644"/>
    <tableColumn id="8" name="7" totalsRowFunction="count" dataDxfId="643" totalsRowDxfId="642"/>
    <tableColumn id="9" name="8" totalsRowFunction="count" dataDxfId="641" totalsRowDxfId="640"/>
    <tableColumn id="10" name="9" totalsRowFunction="count" dataDxfId="639" totalsRowDxfId="638"/>
    <tableColumn id="11" name="10" totalsRowFunction="count" dataDxfId="637" totalsRowDxfId="636"/>
    <tableColumn id="12" name="11" totalsRowFunction="count" dataDxfId="635" totalsRowDxfId="634"/>
    <tableColumn id="13" name="12" totalsRowFunction="count" dataDxfId="633" totalsRowDxfId="632"/>
    <tableColumn id="14" name="13" totalsRowFunction="count" dataDxfId="631" totalsRowDxfId="630"/>
    <tableColumn id="15" name="14" totalsRowFunction="count" dataDxfId="629" totalsRowDxfId="628"/>
    <tableColumn id="16" name="15" totalsRowFunction="count" dataDxfId="627" totalsRowDxfId="626"/>
    <tableColumn id="17" name="16" totalsRowFunction="count" dataDxfId="625" totalsRowDxfId="624"/>
    <tableColumn id="18" name="17" totalsRowFunction="count" dataDxfId="623" totalsRowDxfId="622"/>
    <tableColumn id="19" name="18" totalsRowFunction="count" dataDxfId="621" totalsRowDxfId="620"/>
    <tableColumn id="20" name="19" totalsRowFunction="count" dataDxfId="619" totalsRowDxfId="618"/>
    <tableColumn id="21" name="20" totalsRowFunction="count" dataDxfId="617" totalsRowDxfId="616"/>
    <tableColumn id="22" name="21" totalsRowFunction="count" dataDxfId="615" totalsRowDxfId="614"/>
    <tableColumn id="23" name="22" totalsRowFunction="count" dataDxfId="613" totalsRowDxfId="612"/>
    <tableColumn id="24" name="23" totalsRowFunction="count" dataDxfId="611" totalsRowDxfId="610"/>
    <tableColumn id="25" name="24" totalsRowFunction="count" dataDxfId="609" totalsRowDxfId="608"/>
    <tableColumn id="26" name="25" totalsRowFunction="count" dataDxfId="607" totalsRowDxfId="606"/>
    <tableColumn id="27" name="26" totalsRowFunction="count" dataDxfId="605" totalsRowDxfId="604"/>
    <tableColumn id="28" name="27" totalsRowFunction="count" dataDxfId="603" totalsRowDxfId="602"/>
    <tableColumn id="29" name="28" totalsRowFunction="count" dataDxfId="601" totalsRowDxfId="600"/>
    <tableColumn id="30" name="29" totalsRowFunction="count" dataDxfId="599" totalsRowDxfId="598"/>
    <tableColumn id="31" name="30 " totalsRowFunction="sum" dataDxfId="597" totalsRowDxfId="596"/>
    <tableColumn id="32" name="31" totalsRowFunction="sum" dataDxfId="595" totalsRowDxfId="594" dataCellStyle="Total"/>
    <tableColumn id="33" name="Total Hari" totalsRowFunction="sum" dataDxfId="593" totalsRowDxfId="592" dataCellStyle="Total">
      <calculatedColumnFormula>COUNTA(April[[#This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5.xml><?xml version="1.0" encoding="utf-8"?>
<table xmlns="http://schemas.openxmlformats.org/spreadsheetml/2006/main" id="16" name="Mei" displayName="Mei" ref="B6:AH12" totalsRowCount="1" headerRowDxfId="586" dataDxfId="585" totalsRowDxfId="584">
  <tableColumns count="33">
    <tableColumn id="1" name="Nama Karyawan" totalsRowFunction="custom" dataDxfId="583" totalsRowDxfId="582">
      <totalsRowFormula>NamaBulan&amp;" Total"</totalsRowFormula>
    </tableColumn>
    <tableColumn id="2" name="1" totalsRowFunction="count" dataDxfId="581" totalsRowDxfId="580"/>
    <tableColumn id="3" name="2" totalsRowFunction="count" dataDxfId="579" totalsRowDxfId="578"/>
    <tableColumn id="4" name="3" totalsRowFunction="count" dataDxfId="577" totalsRowDxfId="576"/>
    <tableColumn id="5" name="4" totalsRowFunction="count" dataDxfId="575" totalsRowDxfId="574"/>
    <tableColumn id="6" name="5" totalsRowFunction="count" dataDxfId="573" totalsRowDxfId="572"/>
    <tableColumn id="7" name="6" totalsRowFunction="count" dataDxfId="571" totalsRowDxfId="570"/>
    <tableColumn id="8" name="7" totalsRowFunction="count" dataDxfId="569" totalsRowDxfId="568"/>
    <tableColumn id="9" name="8" totalsRowFunction="count" dataDxfId="567" totalsRowDxfId="566"/>
    <tableColumn id="10" name="9" totalsRowFunction="count" dataDxfId="565" totalsRowDxfId="564"/>
    <tableColumn id="11" name="10" totalsRowFunction="count" dataDxfId="563" totalsRowDxfId="562"/>
    <tableColumn id="12" name="11" totalsRowFunction="count" dataDxfId="561" totalsRowDxfId="560"/>
    <tableColumn id="13" name="12" totalsRowFunction="count" dataDxfId="559" totalsRowDxfId="558"/>
    <tableColumn id="14" name="13" totalsRowFunction="count" dataDxfId="557" totalsRowDxfId="556"/>
    <tableColumn id="15" name="14" totalsRowFunction="count" dataDxfId="555" totalsRowDxfId="554"/>
    <tableColumn id="16" name="15" totalsRowFunction="count" dataDxfId="553" totalsRowDxfId="552"/>
    <tableColumn id="17" name="16" totalsRowFunction="count" dataDxfId="551" totalsRowDxfId="550"/>
    <tableColumn id="18" name="17" totalsRowFunction="count" dataDxfId="549" totalsRowDxfId="548"/>
    <tableColumn id="19" name="18" totalsRowFunction="count" dataDxfId="547" totalsRowDxfId="546"/>
    <tableColumn id="20" name="19" totalsRowFunction="count" dataDxfId="545" totalsRowDxfId="544"/>
    <tableColumn id="21" name="20" totalsRowFunction="count" dataDxfId="543" totalsRowDxfId="542"/>
    <tableColumn id="22" name="21" totalsRowFunction="count" dataDxfId="541" totalsRowDxfId="540"/>
    <tableColumn id="23" name="22" totalsRowFunction="count" dataDxfId="539" totalsRowDxfId="538"/>
    <tableColumn id="24" name="23" totalsRowFunction="count" dataDxfId="537" totalsRowDxfId="536"/>
    <tableColumn id="25" name="24" totalsRowFunction="count" dataDxfId="535" totalsRowDxfId="534"/>
    <tableColumn id="26" name="25" totalsRowFunction="count" dataDxfId="533" totalsRowDxfId="532"/>
    <tableColumn id="27" name="26" totalsRowFunction="count" dataDxfId="531" totalsRowDxfId="530"/>
    <tableColumn id="28" name="27" totalsRowFunction="count" dataDxfId="529" totalsRowDxfId="528"/>
    <tableColumn id="29" name="28" totalsRowFunction="count" dataDxfId="527" totalsRowDxfId="526"/>
    <tableColumn id="30" name="29" totalsRowFunction="count" dataDxfId="525" totalsRowDxfId="524"/>
    <tableColumn id="31" name="30 " totalsRowFunction="sum" dataDxfId="523" totalsRowDxfId="522"/>
    <tableColumn id="32" name="31" totalsRowFunction="sum" dataDxfId="521" totalsRowDxfId="520" dataCellStyle="Total"/>
    <tableColumn id="33" name="Total Hari" totalsRowFunction="sum" dataDxfId="519" totalsRowDxfId="518" dataCellStyle="Total">
      <calculatedColumnFormula>COUNTA(Mei[[#This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6.xml><?xml version="1.0" encoding="utf-8"?>
<table xmlns="http://schemas.openxmlformats.org/spreadsheetml/2006/main" id="17" name="Juni" displayName="Juni" ref="B6:AH12" totalsRowCount="1" headerRowDxfId="512" dataDxfId="511" totalsRowDxfId="510">
  <tableColumns count="33">
    <tableColumn id="1" name="Nama Karyawan" totalsRowFunction="custom" dataDxfId="509" totalsRowDxfId="508">
      <totalsRowFormula>NamaBulan&amp;" Total"</totalsRowFormula>
    </tableColumn>
    <tableColumn id="2" name="1" totalsRowFunction="count" dataDxfId="507" totalsRowDxfId="506"/>
    <tableColumn id="3" name="2" totalsRowFunction="count" dataDxfId="505" totalsRowDxfId="504"/>
    <tableColumn id="4" name="3" totalsRowFunction="count" dataDxfId="503" totalsRowDxfId="502"/>
    <tableColumn id="5" name="4" totalsRowFunction="count" dataDxfId="501" totalsRowDxfId="500"/>
    <tableColumn id="6" name="5" totalsRowFunction="count" dataDxfId="499" totalsRowDxfId="498"/>
    <tableColumn id="7" name="6" totalsRowFunction="count" dataDxfId="497" totalsRowDxfId="496"/>
    <tableColumn id="8" name="7" totalsRowFunction="count" dataDxfId="495" totalsRowDxfId="494"/>
    <tableColumn id="9" name="8" totalsRowFunction="count" dataDxfId="493" totalsRowDxfId="492"/>
    <tableColumn id="10" name="9" totalsRowFunction="count" dataDxfId="491" totalsRowDxfId="490"/>
    <tableColumn id="11" name="10" totalsRowFunction="count" dataDxfId="489" totalsRowDxfId="488"/>
    <tableColumn id="12" name="11" totalsRowFunction="count" dataDxfId="487" totalsRowDxfId="486"/>
    <tableColumn id="13" name="12" totalsRowFunction="count" dataDxfId="485" totalsRowDxfId="484"/>
    <tableColumn id="14" name="13" totalsRowFunction="count" dataDxfId="483" totalsRowDxfId="482"/>
    <tableColumn id="15" name="14" totalsRowFunction="count" dataDxfId="481" totalsRowDxfId="480"/>
    <tableColumn id="16" name="15" totalsRowFunction="count" dataDxfId="479" totalsRowDxfId="478"/>
    <tableColumn id="17" name="16" totalsRowFunction="count" dataDxfId="477" totalsRowDxfId="476"/>
    <tableColumn id="18" name="17" totalsRowFunction="count" dataDxfId="475" totalsRowDxfId="474"/>
    <tableColumn id="19" name="18" totalsRowFunction="count" dataDxfId="473" totalsRowDxfId="472"/>
    <tableColumn id="20" name="19" totalsRowFunction="count" dataDxfId="471" totalsRowDxfId="470"/>
    <tableColumn id="21" name="20" totalsRowFunction="count" dataDxfId="469" totalsRowDxfId="468"/>
    <tableColumn id="22" name="21" totalsRowFunction="count" dataDxfId="467" totalsRowDxfId="466"/>
    <tableColumn id="23" name="22" totalsRowFunction="count" dataDxfId="465" totalsRowDxfId="464"/>
    <tableColumn id="24" name="23" totalsRowFunction="count" dataDxfId="463" totalsRowDxfId="462"/>
    <tableColumn id="25" name="24" totalsRowFunction="count" dataDxfId="461" totalsRowDxfId="460"/>
    <tableColumn id="26" name="25" totalsRowFunction="count" dataDxfId="459" totalsRowDxfId="458"/>
    <tableColumn id="27" name="26" totalsRowFunction="count" dataDxfId="457" totalsRowDxfId="456"/>
    <tableColumn id="28" name="27" totalsRowFunction="count" dataDxfId="455" totalsRowDxfId="454"/>
    <tableColumn id="29" name="28" totalsRowFunction="count" dataDxfId="453" totalsRowDxfId="452"/>
    <tableColumn id="30" name="29" totalsRowFunction="count" dataDxfId="451" totalsRowDxfId="450"/>
    <tableColumn id="31" name="30 " totalsRowFunction="sum" dataDxfId="449" totalsRowDxfId="448"/>
    <tableColumn id="32" name="31" totalsRowFunction="sum" dataDxfId="447" totalsRowDxfId="446" dataCellStyle="Total"/>
    <tableColumn id="33" name="Total Hari" totalsRowFunction="sum" dataDxfId="445" totalsRowDxfId="444" dataCellStyle="Total">
      <calculatedColumnFormula>COUNTA(Juni[[#This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7.xml><?xml version="1.0" encoding="utf-8"?>
<table xmlns="http://schemas.openxmlformats.org/spreadsheetml/2006/main" id="18" name="Juli" displayName="Juli" ref="B6:AH12" totalsRowCount="1" headerRowDxfId="438" dataDxfId="437" totalsRowDxfId="436">
  <tableColumns count="33">
    <tableColumn id="1" name="Nama Karyawan" totalsRowFunction="custom" dataDxfId="435" totalsRowDxfId="434">
      <totalsRowFormula>NamaBulan&amp;" Total"</totalsRowFormula>
    </tableColumn>
    <tableColumn id="2" name="1" totalsRowFunction="count" dataDxfId="433" totalsRowDxfId="432"/>
    <tableColumn id="3" name="2" totalsRowFunction="count" dataDxfId="431" totalsRowDxfId="430"/>
    <tableColumn id="4" name="3" totalsRowFunction="count" dataDxfId="429" totalsRowDxfId="428"/>
    <tableColumn id="5" name="4" totalsRowFunction="count" dataDxfId="427" totalsRowDxfId="426"/>
    <tableColumn id="6" name="5" totalsRowFunction="count" dataDxfId="425" totalsRowDxfId="424"/>
    <tableColumn id="7" name="6" totalsRowFunction="count" dataDxfId="423" totalsRowDxfId="422"/>
    <tableColumn id="8" name="7" totalsRowFunction="count" dataDxfId="421" totalsRowDxfId="420"/>
    <tableColumn id="9" name="8" totalsRowFunction="count" dataDxfId="419" totalsRowDxfId="418"/>
    <tableColumn id="10" name="9" totalsRowFunction="count" dataDxfId="417" totalsRowDxfId="416"/>
    <tableColumn id="11" name="10" totalsRowFunction="count" dataDxfId="415" totalsRowDxfId="414"/>
    <tableColumn id="12" name="11" totalsRowFunction="count" dataDxfId="413" totalsRowDxfId="412"/>
    <tableColumn id="13" name="12" totalsRowFunction="count" dataDxfId="411" totalsRowDxfId="410"/>
    <tableColumn id="14" name="13" totalsRowFunction="count" dataDxfId="409" totalsRowDxfId="408"/>
    <tableColumn id="15" name="14" totalsRowFunction="count" dataDxfId="407" totalsRowDxfId="406"/>
    <tableColumn id="16" name="15" totalsRowFunction="count" dataDxfId="405" totalsRowDxfId="404"/>
    <tableColumn id="17" name="16" totalsRowFunction="count" dataDxfId="403" totalsRowDxfId="402"/>
    <tableColumn id="18" name="17" totalsRowFunction="count" dataDxfId="401" totalsRowDxfId="400"/>
    <tableColumn id="19" name="18" totalsRowFunction="count" dataDxfId="399" totalsRowDxfId="398"/>
    <tableColumn id="20" name="19" totalsRowFunction="count" dataDxfId="397" totalsRowDxfId="396"/>
    <tableColumn id="21" name="20" totalsRowFunction="count" dataDxfId="395" totalsRowDxfId="394"/>
    <tableColumn id="22" name="21" totalsRowFunction="count" dataDxfId="393" totalsRowDxfId="392"/>
    <tableColumn id="23" name="22" totalsRowFunction="count" dataDxfId="391" totalsRowDxfId="390"/>
    <tableColumn id="24" name="23" totalsRowFunction="count" dataDxfId="389" totalsRowDxfId="388"/>
    <tableColumn id="25" name="24" totalsRowFunction="count" dataDxfId="387" totalsRowDxfId="386"/>
    <tableColumn id="26" name="25" totalsRowFunction="count" dataDxfId="385" totalsRowDxfId="384"/>
    <tableColumn id="27" name="26" totalsRowFunction="count" dataDxfId="383" totalsRowDxfId="382"/>
    <tableColumn id="28" name="27" totalsRowFunction="count" dataDxfId="381" totalsRowDxfId="380"/>
    <tableColumn id="29" name="28" totalsRowFunction="count" dataDxfId="379" totalsRowDxfId="378"/>
    <tableColumn id="30" name="29" totalsRowFunction="count" dataDxfId="377" totalsRowDxfId="376"/>
    <tableColumn id="31" name="30 " totalsRowFunction="sum" dataDxfId="375" totalsRowDxfId="374"/>
    <tableColumn id="32" name="31" totalsRowFunction="sum" dataDxfId="373" totalsRowDxfId="372" dataCellStyle="Total"/>
    <tableColumn id="33" name="Total Hari" totalsRowFunction="sum" dataDxfId="371" totalsRowDxfId="370" dataCellStyle="Total">
      <calculatedColumnFormula>COUNTA(Juli[[#This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8.xml><?xml version="1.0" encoding="utf-8"?>
<table xmlns="http://schemas.openxmlformats.org/spreadsheetml/2006/main" id="19" name="Agustus" displayName="Agustus" ref="B6:AH12" totalsRowCount="1" headerRowDxfId="364" dataDxfId="363" totalsRowDxfId="362">
  <tableColumns count="33">
    <tableColumn id="1" name="Nama Karyawan" totalsRowFunction="custom" dataDxfId="361" totalsRowDxfId="360">
      <totalsRowFormula>NamaBulan&amp;" Total"</totalsRowFormula>
    </tableColumn>
    <tableColumn id="2" name="1" totalsRowFunction="count" dataDxfId="359" totalsRowDxfId="358"/>
    <tableColumn id="3" name="2" totalsRowFunction="count" dataDxfId="357" totalsRowDxfId="356"/>
    <tableColumn id="4" name="3" totalsRowFunction="count" dataDxfId="355" totalsRowDxfId="354"/>
    <tableColumn id="5" name="4" totalsRowFunction="count" dataDxfId="353" totalsRowDxfId="352"/>
    <tableColumn id="6" name="5" totalsRowFunction="count" dataDxfId="351" totalsRowDxfId="350"/>
    <tableColumn id="7" name="6" totalsRowFunction="count" dataDxfId="349" totalsRowDxfId="348"/>
    <tableColumn id="8" name="7" totalsRowFunction="count" dataDxfId="347" totalsRowDxfId="346"/>
    <tableColumn id="9" name="8" totalsRowFunction="count" dataDxfId="345" totalsRowDxfId="344"/>
    <tableColumn id="10" name="9" totalsRowFunction="count" dataDxfId="343" totalsRowDxfId="342"/>
    <tableColumn id="11" name="10" totalsRowFunction="count" dataDxfId="341" totalsRowDxfId="340"/>
    <tableColumn id="12" name="11" totalsRowFunction="count" dataDxfId="339" totalsRowDxfId="338"/>
    <tableColumn id="13" name="12" totalsRowFunction="count" dataDxfId="337" totalsRowDxfId="336"/>
    <tableColumn id="14" name="13" totalsRowFunction="count" dataDxfId="335" totalsRowDxfId="334"/>
    <tableColumn id="15" name="14" totalsRowFunction="count" dataDxfId="333" totalsRowDxfId="332"/>
    <tableColumn id="16" name="15" totalsRowFunction="count" dataDxfId="331" totalsRowDxfId="330"/>
    <tableColumn id="17" name="16" totalsRowFunction="count" dataDxfId="329" totalsRowDxfId="328"/>
    <tableColumn id="18" name="17" totalsRowFunction="count" dataDxfId="327" totalsRowDxfId="326"/>
    <tableColumn id="19" name="18" totalsRowFunction="count" dataDxfId="325" totalsRowDxfId="324"/>
    <tableColumn id="20" name="19" totalsRowFunction="count" dataDxfId="323" totalsRowDxfId="322"/>
    <tableColumn id="21" name="20" totalsRowFunction="count" dataDxfId="321" totalsRowDxfId="320"/>
    <tableColumn id="22" name="21" totalsRowFunction="count" dataDxfId="319" totalsRowDxfId="318"/>
    <tableColumn id="23" name="22" totalsRowFunction="count" dataDxfId="317" totalsRowDxfId="316"/>
    <tableColumn id="24" name="23" totalsRowFunction="count" dataDxfId="315" totalsRowDxfId="314"/>
    <tableColumn id="25" name="24" totalsRowFunction="count" dataDxfId="313" totalsRowDxfId="312"/>
    <tableColumn id="26" name="25" totalsRowFunction="count" dataDxfId="311" totalsRowDxfId="310"/>
    <tableColumn id="27" name="26" totalsRowFunction="count" dataDxfId="309" totalsRowDxfId="308"/>
    <tableColumn id="28" name="27" totalsRowFunction="count" dataDxfId="307" totalsRowDxfId="306"/>
    <tableColumn id="29" name="28" totalsRowFunction="count" dataDxfId="305" totalsRowDxfId="304"/>
    <tableColumn id="30" name="29" totalsRowFunction="count" dataDxfId="303" totalsRowDxfId="302"/>
    <tableColumn id="31" name="30 " totalsRowFunction="sum" dataDxfId="301" totalsRowDxfId="300"/>
    <tableColumn id="32" name="31" totalsRowFunction="sum" dataDxfId="299" totalsRowDxfId="298" dataCellStyle="Total"/>
    <tableColumn id="33" name="Total Hari" totalsRowFunction="sum" dataDxfId="297" totalsRowDxfId="296" dataCellStyle="Total">
      <calculatedColumnFormula>COUNTA(Agustus[[#This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9.xml><?xml version="1.0" encoding="utf-8"?>
<table xmlns="http://schemas.openxmlformats.org/spreadsheetml/2006/main" id="20" name="September" displayName="September" ref="B6:AH12" totalsRowCount="1" headerRowDxfId="290" dataDxfId="289" totalsRowDxfId="288">
  <tableColumns count="33">
    <tableColumn id="1" name="Nama Karyawan" totalsRowFunction="custom" dataDxfId="287" totalsRowDxfId="286">
      <totalsRowFormula>NamaBulan&amp;" Total"</totalsRowFormula>
    </tableColumn>
    <tableColumn id="2" name="1" totalsRowFunction="count" dataDxfId="285" totalsRowDxfId="284"/>
    <tableColumn id="3" name="2" totalsRowFunction="count" dataDxfId="283" totalsRowDxfId="282"/>
    <tableColumn id="4" name="3" totalsRowFunction="count" dataDxfId="281" totalsRowDxfId="280"/>
    <tableColumn id="5" name="4" totalsRowFunction="count" dataDxfId="279" totalsRowDxfId="278"/>
    <tableColumn id="6" name="5" totalsRowFunction="count" dataDxfId="277" totalsRowDxfId="276"/>
    <tableColumn id="7" name="6" totalsRowFunction="count" dataDxfId="275" totalsRowDxfId="274"/>
    <tableColumn id="8" name="7" totalsRowFunction="count" dataDxfId="273" totalsRowDxfId="272"/>
    <tableColumn id="9" name="8" totalsRowFunction="count" dataDxfId="271" totalsRowDxfId="270"/>
    <tableColumn id="10" name="9" totalsRowFunction="count" dataDxfId="269" totalsRowDxfId="268"/>
    <tableColumn id="11" name="10" totalsRowFunction="count" dataDxfId="267" totalsRowDxfId="266"/>
    <tableColumn id="12" name="11" totalsRowFunction="count" dataDxfId="265" totalsRowDxfId="264"/>
    <tableColumn id="13" name="12" totalsRowFunction="count" dataDxfId="263" totalsRowDxfId="262"/>
    <tableColumn id="14" name="13" totalsRowFunction="count" dataDxfId="261" totalsRowDxfId="260"/>
    <tableColumn id="15" name="14" totalsRowFunction="count" dataDxfId="259" totalsRowDxfId="258"/>
    <tableColumn id="16" name="15" totalsRowFunction="count" dataDxfId="257" totalsRowDxfId="256"/>
    <tableColumn id="17" name="16" totalsRowFunction="count" dataDxfId="255" totalsRowDxfId="254"/>
    <tableColumn id="18" name="17" totalsRowFunction="count" dataDxfId="253" totalsRowDxfId="252"/>
    <tableColumn id="19" name="18" totalsRowFunction="count" dataDxfId="251" totalsRowDxfId="250"/>
    <tableColumn id="20" name="19" totalsRowFunction="count" dataDxfId="249" totalsRowDxfId="248"/>
    <tableColumn id="21" name="20" totalsRowFunction="count" dataDxfId="247" totalsRowDxfId="246"/>
    <tableColumn id="22" name="21" totalsRowFunction="count" dataDxfId="245" totalsRowDxfId="244"/>
    <tableColumn id="23" name="22" totalsRowFunction="count" dataDxfId="243" totalsRowDxfId="242"/>
    <tableColumn id="24" name="23" totalsRowFunction="count" dataDxfId="241" totalsRowDxfId="240"/>
    <tableColumn id="25" name="24" totalsRowFunction="count" dataDxfId="239" totalsRowDxfId="238"/>
    <tableColumn id="26" name="25" totalsRowFunction="count" dataDxfId="237" totalsRowDxfId="236"/>
    <tableColumn id="27" name="26" totalsRowFunction="count" dataDxfId="235" totalsRowDxfId="234"/>
    <tableColumn id="28" name="27" totalsRowFunction="count" dataDxfId="233" totalsRowDxfId="232"/>
    <tableColumn id="29" name="28" totalsRowFunction="count" dataDxfId="231" totalsRowDxfId="230"/>
    <tableColumn id="30" name="29" totalsRowFunction="count" dataDxfId="229" totalsRowDxfId="228"/>
    <tableColumn id="31" name="30 " totalsRowFunction="sum" dataDxfId="227" totalsRowDxfId="226"/>
    <tableColumn id="32" name="31" totalsRowFunction="sum" dataDxfId="225" totalsRowDxfId="224" dataCellStyle="Total"/>
    <tableColumn id="33" name="Total Hari" totalsRowFunction="sum" dataDxfId="223" totalsRowDxfId="222" dataCellStyle="Total">
      <calculatedColumnFormula>COUNTA(September[[#This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10.xml><?xml version="1.0" encoding="utf-8"?>
<table xmlns="http://schemas.openxmlformats.org/spreadsheetml/2006/main" id="21" name="Oktober" displayName="Oktober" ref="B6:AH12" totalsRowCount="1" headerRowDxfId="216" dataDxfId="215" totalsRowDxfId="214">
  <tableColumns count="33">
    <tableColumn id="1" name="Nama Karyawan" totalsRowFunction="custom" dataDxfId="213" totalsRowDxfId="212">
      <totalsRowFormula>NamaBulan&amp;" Total"</totalsRowFormula>
    </tableColumn>
    <tableColumn id="2" name="1" totalsRowFunction="count" dataDxfId="211" totalsRowDxfId="210"/>
    <tableColumn id="3" name="2" totalsRowFunction="count" dataDxfId="209" totalsRowDxfId="208"/>
    <tableColumn id="4" name="3" totalsRowFunction="count" dataDxfId="207" totalsRowDxfId="206"/>
    <tableColumn id="5" name="4" totalsRowFunction="count" dataDxfId="205" totalsRowDxfId="204"/>
    <tableColumn id="6" name="5" totalsRowFunction="count" dataDxfId="203" totalsRowDxfId="202"/>
    <tableColumn id="7" name="6" totalsRowFunction="count" dataDxfId="201" totalsRowDxfId="200"/>
    <tableColumn id="8" name="7" totalsRowFunction="count" dataDxfId="199" totalsRowDxfId="198"/>
    <tableColumn id="9" name="8" totalsRowFunction="count" dataDxfId="197" totalsRowDxfId="196"/>
    <tableColumn id="10" name="9" totalsRowFunction="count" dataDxfId="195" totalsRowDxfId="194"/>
    <tableColumn id="11" name="10" totalsRowFunction="count" dataDxfId="193" totalsRowDxfId="192"/>
    <tableColumn id="12" name="11" totalsRowFunction="count" dataDxfId="191" totalsRowDxfId="190"/>
    <tableColumn id="13" name="12" totalsRowFunction="count" dataDxfId="189" totalsRowDxfId="188"/>
    <tableColumn id="14" name="13" totalsRowFunction="count" dataDxfId="187" totalsRowDxfId="186"/>
    <tableColumn id="15" name="14" totalsRowFunction="count" dataDxfId="185" totalsRowDxfId="184"/>
    <tableColumn id="16" name="15" totalsRowFunction="count" dataDxfId="183" totalsRowDxfId="182"/>
    <tableColumn id="17" name="16" totalsRowFunction="count" dataDxfId="181" totalsRowDxfId="180"/>
    <tableColumn id="18" name="17" totalsRowFunction="count" dataDxfId="179" totalsRowDxfId="178"/>
    <tableColumn id="19" name="18" totalsRowFunction="count" dataDxfId="177" totalsRowDxfId="176"/>
    <tableColumn id="20" name="19" totalsRowFunction="count" dataDxfId="175" totalsRowDxfId="174"/>
    <tableColumn id="21" name="20" totalsRowFunction="count" dataDxfId="173" totalsRowDxfId="172"/>
    <tableColumn id="22" name="21" totalsRowFunction="count" dataDxfId="171" totalsRowDxfId="170"/>
    <tableColumn id="23" name="22" totalsRowFunction="count" dataDxfId="169" totalsRowDxfId="168"/>
    <tableColumn id="24" name="23" totalsRowFunction="count" dataDxfId="167" totalsRowDxfId="166"/>
    <tableColumn id="25" name="24" totalsRowFunction="count" dataDxfId="165" totalsRowDxfId="164"/>
    <tableColumn id="26" name="25" totalsRowFunction="count" dataDxfId="163" totalsRowDxfId="162"/>
    <tableColumn id="27" name="26" totalsRowFunction="count" dataDxfId="161" totalsRowDxfId="160"/>
    <tableColumn id="28" name="27" totalsRowFunction="count" dataDxfId="159" totalsRowDxfId="158"/>
    <tableColumn id="29" name="28" totalsRowFunction="count" dataDxfId="157" totalsRowDxfId="156"/>
    <tableColumn id="30" name="29" totalsRowFunction="count" dataDxfId="155" totalsRowDxfId="154"/>
    <tableColumn id="31" name="30 " totalsRowFunction="sum" dataDxfId="153" totalsRowDxfId="152"/>
    <tableColumn id="32" name="31" totalsRowFunction="sum" dataDxfId="151" totalsRowDxfId="150" dataCellStyle="Total"/>
    <tableColumn id="33" name="Total Hari" totalsRowFunction="sum" dataDxfId="149" totalsRowDxfId="148" dataCellStyle="Total">
      <calculatedColumnFormula>COUNTA(Oktober[[#This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11.xml><?xml version="1.0" encoding="utf-8"?>
<table xmlns="http://schemas.openxmlformats.org/spreadsheetml/2006/main" id="22" name="November" displayName="November" ref="B6:AH12" totalsRowCount="1" headerRowDxfId="142" dataDxfId="141" totalsRowDxfId="140">
  <tableColumns count="33">
    <tableColumn id="1" name="Nama Karyawan" totalsRowFunction="custom" dataDxfId="139" totalsRowDxfId="138">
      <totalsRowFormula>NamaBulan&amp;" Total"</totalsRowFormula>
    </tableColumn>
    <tableColumn id="2" name="1" totalsRowFunction="count" dataDxfId="137" totalsRowDxfId="136"/>
    <tableColumn id="3" name="2" totalsRowFunction="count" dataDxfId="135" totalsRowDxfId="134"/>
    <tableColumn id="4" name="3" totalsRowFunction="count" dataDxfId="133" totalsRowDxfId="132"/>
    <tableColumn id="5" name="4" totalsRowFunction="count" dataDxfId="131" totalsRowDxfId="130"/>
    <tableColumn id="6" name="5" totalsRowFunction="count" dataDxfId="129" totalsRowDxfId="128"/>
    <tableColumn id="7" name="6" totalsRowFunction="count" dataDxfId="127" totalsRowDxfId="126"/>
    <tableColumn id="8" name="7" totalsRowFunction="count" dataDxfId="125" totalsRowDxfId="124"/>
    <tableColumn id="9" name="8" totalsRowFunction="count" dataDxfId="123" totalsRowDxfId="122"/>
    <tableColumn id="10" name="9" totalsRowFunction="count" dataDxfId="121" totalsRowDxfId="120"/>
    <tableColumn id="11" name="10" totalsRowFunction="count" dataDxfId="119" totalsRowDxfId="118"/>
    <tableColumn id="12" name="11" totalsRowFunction="count" dataDxfId="117" totalsRowDxfId="116"/>
    <tableColumn id="13" name="12" totalsRowFunction="count" dataDxfId="115" totalsRowDxfId="114"/>
    <tableColumn id="14" name="13" totalsRowFunction="count" dataDxfId="113" totalsRowDxfId="112"/>
    <tableColumn id="15" name="14" totalsRowFunction="count" dataDxfId="111" totalsRowDxfId="110"/>
    <tableColumn id="16" name="15" totalsRowFunction="count" dataDxfId="109" totalsRowDxfId="108"/>
    <tableColumn id="17" name="16" totalsRowFunction="count" dataDxfId="107" totalsRowDxfId="106"/>
    <tableColumn id="18" name="17" totalsRowFunction="count" dataDxfId="105" totalsRowDxfId="104"/>
    <tableColumn id="19" name="18" totalsRowFunction="count" dataDxfId="103" totalsRowDxfId="102"/>
    <tableColumn id="20" name="19" totalsRowFunction="count" dataDxfId="101" totalsRowDxfId="100"/>
    <tableColumn id="21" name="20" totalsRowFunction="count" dataDxfId="99" totalsRowDxfId="98"/>
    <tableColumn id="22" name="21" totalsRowFunction="count" dataDxfId="97" totalsRowDxfId="96"/>
    <tableColumn id="23" name="22" totalsRowFunction="count" dataDxfId="95" totalsRowDxfId="94"/>
    <tableColumn id="24" name="23" totalsRowFunction="count" dataDxfId="93" totalsRowDxfId="92"/>
    <tableColumn id="25" name="24" totalsRowFunction="count" dataDxfId="91" totalsRowDxfId="90"/>
    <tableColumn id="26" name="25" totalsRowFunction="count" dataDxfId="89" totalsRowDxfId="88"/>
    <tableColumn id="27" name="26" totalsRowFunction="count" dataDxfId="87" totalsRowDxfId="86"/>
    <tableColumn id="28" name="27" totalsRowFunction="count" dataDxfId="85" totalsRowDxfId="84"/>
    <tableColumn id="29" name="28" totalsRowFunction="count" dataDxfId="83" totalsRowDxfId="82"/>
    <tableColumn id="30" name="29" totalsRowFunction="count" dataDxfId="81" totalsRowDxfId="80"/>
    <tableColumn id="31" name="30 " totalsRowFunction="sum" dataDxfId="79" totalsRowDxfId="78"/>
    <tableColumn id="32" name="31" totalsRowFunction="sum" dataDxfId="77" totalsRowDxfId="76" dataCellStyle="Total"/>
    <tableColumn id="33" name="Total Hari" totalsRowFunction="sum" dataDxfId="75" totalsRowDxfId="74" dataCellStyle="Total">
      <calculatedColumnFormula>COUNTA(November[[#This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Berikan nama karyawan dan tanggal absen. Catat jenis absen per kunci di baris 12: L=Liburan, S=Sakit, P=Pribadi dan dua placeholder untuk entri kustom"/>
    </ext>
  </extLst>
</table>
</file>

<file path=xl/tables/table12.xml><?xml version="1.0" encoding="utf-8"?>
<table xmlns="http://schemas.openxmlformats.org/spreadsheetml/2006/main" id="12" name="Desember" displayName="Desember" ref="B6:AH12" totalsRowCount="1" headerRowDxfId="68" dataDxfId="67" totalsRowDxfId="66">
  <tableColumns count="33">
    <tableColumn id="1" name="Nama Karyawan" totalsRowFunction="custom" dataDxfId="65" totalsRowDxfId="64">
      <totalsRowFormula>NamaBulan&amp;" Total"</totalsRowFormula>
    </tableColumn>
    <tableColumn id="2" name="1" totalsRowFunction="count" dataDxfId="63" totalsRowDxfId="62"/>
    <tableColumn id="3" name="2" totalsRowFunction="count" dataDxfId="61" totalsRowDxfId="60"/>
    <tableColumn id="4" name="3" totalsRowFunction="count" dataDxfId="59" totalsRowDxfId="58"/>
    <tableColumn id="5" name="4" totalsRowFunction="count" dataDxfId="57" totalsRowDxfId="56"/>
    <tableColumn id="6" name="5" totalsRowFunction="count" dataDxfId="55" totalsRowDxfId="54"/>
    <tableColumn id="7" name="6" totalsRowFunction="count" dataDxfId="53" totalsRowDxfId="52"/>
    <tableColumn id="8" name="7" totalsRowFunction="count" dataDxfId="51" totalsRowDxfId="50"/>
    <tableColumn id="9" name="8" totalsRowFunction="count" dataDxfId="49" totalsRowDxfId="48"/>
    <tableColumn id="10" name="9" totalsRowFunction="count" dataDxfId="47" totalsRowDxfId="46"/>
    <tableColumn id="11" name="10" totalsRowFunction="count" dataDxfId="45" totalsRowDxfId="44"/>
    <tableColumn id="12" name="11" totalsRowFunction="count" dataDxfId="43" totalsRowDxfId="42"/>
    <tableColumn id="13" name="12" totalsRowFunction="count" dataDxfId="41" totalsRowDxfId="40"/>
    <tableColumn id="14" name="13" totalsRowFunction="count" dataDxfId="39" totalsRowDxfId="38"/>
    <tableColumn id="15" name="14" totalsRowFunction="count" dataDxfId="37" totalsRowDxfId="36"/>
    <tableColumn id="16" name="15" totalsRowFunction="count" dataDxfId="35" totalsRowDxfId="34"/>
    <tableColumn id="17" name="16" totalsRowFunction="count" dataDxfId="33" totalsRowDxfId="32"/>
    <tableColumn id="18" name="17" totalsRowFunction="count" dataDxfId="31" totalsRowDxfId="30"/>
    <tableColumn id="19" name="18" totalsRowFunction="count" dataDxfId="29" totalsRowDxfId="28"/>
    <tableColumn id="20" name="19" totalsRowFunction="count" dataDxfId="27" totalsRowDxfId="26"/>
    <tableColumn id="21" name="20" totalsRowFunction="count" dataDxfId="25" totalsRowDxfId="24"/>
    <tableColumn id="22" name="21" totalsRowFunction="count" dataDxfId="23" totalsRowDxfId="22"/>
    <tableColumn id="23" name="22" totalsRowFunction="count" dataDxfId="21" totalsRowDxfId="20"/>
    <tableColumn id="24" name="23" totalsRowFunction="count" dataDxfId="19" totalsRowDxfId="18"/>
    <tableColumn id="25" name="24" totalsRowFunction="count" dataDxfId="17" totalsRowDxfId="16"/>
    <tableColumn id="26" name="25" totalsRowFunction="count" dataDxfId="15" totalsRowDxfId="14"/>
    <tableColumn id="27" name="26" totalsRowFunction="count" dataDxfId="13" totalsRowDxfId="12"/>
    <tableColumn id="28" name="27" totalsRowFunction="count" dataDxfId="11" totalsRowDxfId="10"/>
    <tableColumn id="29" name="28" totalsRowFunction="count" dataDxfId="9" totalsRowDxfId="8"/>
    <tableColumn id="30" name="29" totalsRowFunction="count" dataDxfId="7" totalsRowDxfId="6"/>
    <tableColumn id="31" name="30 " totalsRowFunction="sum" dataDxfId="5" totalsRowDxfId="4"/>
    <tableColumn id="32" name="31" totalsRowFunction="sum" dataDxfId="3" totalsRowDxfId="2" dataCellStyle="Total"/>
    <tableColumn id="33" name="Total Hari" totalsRowFunction="sum" dataDxfId="1" totalsRowDxfId="0" dataCellStyle="Total">
      <calculatedColumnFormula>COUNTA(Desember[[#This Row],[1]:[31]])</calculatedColumnFormula>
    </tableColumn>
  </tableColumns>
  <tableStyleInfo name="Tabel Absen Karyawan" showFirstColumn="1" showLastColumn="1" showRowStripes="1" showColumnStripes="0"/>
  <extLst>
    <ext xmlns:x14="http://schemas.microsoft.com/office/spreadsheetml/2009/9/main" uri="{504A1905-F514-4f6f-8877-14C23A59335A}">
      <x14:table altTextSummary="Menyediakan daftar nama dan tanggal kalender untuk mencatat ketidakhadiran dan jenis absen spesifik karyawan, seperti L=Liburan, S=Sakit, P=Pribadi dan dua placeholder untuk entri kustom"/>
    </ext>
  </extLst>
</table>
</file>

<file path=xl/tables/table13.xml><?xml version="1.0" encoding="utf-8"?>
<table xmlns="http://schemas.openxmlformats.org/spreadsheetml/2006/main" id="13" name="NamaKaryawan" displayName="NamaKaryawan" ref="B3:B8" totalsRowShown="0" dataCellStyle="Karyawan">
  <autoFilter ref="B3:B8"/>
  <tableColumns count="1">
    <tableColumn id="1" name="Nama Karyawan" dataCellStyle="Karyawan"/>
  </tableColumns>
  <tableStyleInfo name="Tabel Absen Karyawan" showFirstColumn="1" showLastColumn="1" showRowStripes="1" showColumnStripes="0"/>
  <extLst>
    <ext xmlns:x14="http://schemas.microsoft.com/office/spreadsheetml/2009/9/main" uri="{504A1905-F514-4f6f-8877-14C23A59335A}">
      <x14:table altTextSummary="Masukkan nama karyawan di tabel ini. Nama ini digunakan sebagai opsi dalam jadwal absen setiap bulan kolom B"/>
    </ext>
  </extLst>
</table>
</file>

<file path=xl/theme/theme1.xml><?xml version="1.0" encoding="utf-8"?>
<a:theme xmlns:a="http://schemas.openxmlformats.org/drawingml/2006/main" name="Office Theme">
  <a:themeElements>
    <a:clrScheme name="Employee Absense Schedule">
      <a:dk1>
        <a:sysClr val="windowText" lastClr="000000"/>
      </a:dk1>
      <a:lt1>
        <a:sysClr val="window" lastClr="FFFFFF"/>
      </a:lt1>
      <a:dk2>
        <a:srgbClr val="4B180E"/>
      </a:dk2>
      <a:lt2>
        <a:srgbClr val="F1F2E8"/>
      </a:lt2>
      <a:accent1>
        <a:srgbClr val="A53423"/>
      </a:accent1>
      <a:accent2>
        <a:srgbClr val="E68130"/>
      </a:accent2>
      <a:accent3>
        <a:srgbClr val="9BB05D"/>
      </a:accent3>
      <a:accent4>
        <a:srgbClr val="CC9900"/>
      </a:accent4>
      <a:accent5>
        <a:srgbClr val="4F66AF"/>
      </a:accent5>
      <a:accent6>
        <a:srgbClr val="D0D2D3"/>
      </a:accent6>
      <a:hlink>
        <a:srgbClr val="4F66AF"/>
      </a:hlink>
      <a:folHlink>
        <a:srgbClr val="6B9AC6"/>
      </a:folHlink>
    </a:clrScheme>
    <a:fontScheme name="Employee Absence Schedule">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pageSetUpPr fitToPage="1"/>
  </sheetPr>
  <dimension ref="A1:AH12"/>
  <sheetViews>
    <sheetView showGridLines="0" tabSelected="1"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1:34" ht="50.1" customHeight="1" x14ac:dyDescent="0.25">
      <c r="A1" s="18"/>
      <c r="B1" s="14" t="s">
        <v>0</v>
      </c>
    </row>
    <row r="2" spans="1: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1:34" ht="15" customHeight="1" x14ac:dyDescent="0.25">
      <c r="AH3" s="20" t="s">
        <v>49</v>
      </c>
    </row>
    <row r="4" spans="1:34" ht="30" customHeight="1" x14ac:dyDescent="0.25">
      <c r="B4" s="12" t="s">
        <v>2</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v>2016</v>
      </c>
    </row>
    <row r="5" spans="1:34" ht="15" customHeight="1" x14ac:dyDescent="0.25">
      <c r="B5" s="12"/>
      <c r="C5" s="2" t="str">
        <f>TEXT(WEEKDAY(DATE(TahunKalender,1,1),1),"aaa")</f>
        <v>Jum</v>
      </c>
      <c r="D5" s="2" t="str">
        <f>TEXT(WEEKDAY(DATE(TahunKalender,1,2),1),"aaa")</f>
        <v>Sab</v>
      </c>
      <c r="E5" s="2" t="str">
        <f>TEXT(WEEKDAY(DATE(TahunKalender,1,3),1),"aaa")</f>
        <v>Mgg</v>
      </c>
      <c r="F5" s="2" t="str">
        <f>TEXT(WEEKDAY(DATE(TahunKalender,1,4),1),"aaa")</f>
        <v>Sen</v>
      </c>
      <c r="G5" s="2" t="str">
        <f>TEXT(WEEKDAY(DATE(TahunKalender,1,5),1),"aaa")</f>
        <v>Sel</v>
      </c>
      <c r="H5" s="2" t="str">
        <f>TEXT(WEEKDAY(DATE(TahunKalender,1,6),1),"aaa")</f>
        <v>Rab</v>
      </c>
      <c r="I5" s="2" t="str">
        <f>TEXT(WEEKDAY(DATE(TahunKalender,1,7),1),"aaa")</f>
        <v>Kam</v>
      </c>
      <c r="J5" s="2" t="str">
        <f>TEXT(WEEKDAY(DATE(TahunKalender,1,8),1),"aaa")</f>
        <v>Jum</v>
      </c>
      <c r="K5" s="2" t="str">
        <f>TEXT(WEEKDAY(DATE(TahunKalender,1,9),1),"aaa")</f>
        <v>Sab</v>
      </c>
      <c r="L5" s="2" t="str">
        <f>TEXT(WEEKDAY(DATE(TahunKalender,1,10),1),"aaa")</f>
        <v>Mgg</v>
      </c>
      <c r="M5" s="2" t="str">
        <f>TEXT(WEEKDAY(DATE(TahunKalender,1,11),1),"aaa")</f>
        <v>Sen</v>
      </c>
      <c r="N5" s="2" t="str">
        <f>TEXT(WEEKDAY(DATE(TahunKalender,1,12),1),"aaa")</f>
        <v>Sel</v>
      </c>
      <c r="O5" s="2" t="str">
        <f>TEXT(WEEKDAY(DATE(TahunKalender,1,13),1),"aaa")</f>
        <v>Rab</v>
      </c>
      <c r="P5" s="2" t="str">
        <f>TEXT(WEEKDAY(DATE(TahunKalender,1,14),1),"aaa")</f>
        <v>Kam</v>
      </c>
      <c r="Q5" s="2" t="str">
        <f>TEXT(WEEKDAY(DATE(TahunKalender,1,15),1),"aaa")</f>
        <v>Jum</v>
      </c>
      <c r="R5" s="2" t="str">
        <f>TEXT(WEEKDAY(DATE(TahunKalender,1,16),1),"aaa")</f>
        <v>Sab</v>
      </c>
      <c r="S5" s="2" t="str">
        <f>TEXT(WEEKDAY(DATE(TahunKalender,1,17),1),"aaa")</f>
        <v>Mgg</v>
      </c>
      <c r="T5" s="2" t="str">
        <f>TEXT(WEEKDAY(DATE(TahunKalender,1,18),1),"aaa")</f>
        <v>Sen</v>
      </c>
      <c r="U5" s="2" t="str">
        <f>TEXT(WEEKDAY(DATE(TahunKalender,1,19),1),"aaa")</f>
        <v>Sel</v>
      </c>
      <c r="V5" s="2" t="str">
        <f>TEXT(WEEKDAY(DATE(TahunKalender,1,20),1),"aaa")</f>
        <v>Rab</v>
      </c>
      <c r="W5" s="2" t="str">
        <f>TEXT(WEEKDAY(DATE(TahunKalender,1,21),1),"aaa")</f>
        <v>Kam</v>
      </c>
      <c r="X5" s="2" t="str">
        <f>TEXT(WEEKDAY(DATE(TahunKalender,1,22),1),"aaa")</f>
        <v>Jum</v>
      </c>
      <c r="Y5" s="2" t="str">
        <f>TEXT(WEEKDAY(DATE(TahunKalender,1,23),1),"aaa")</f>
        <v>Sab</v>
      </c>
      <c r="Z5" s="2" t="str">
        <f>TEXT(WEEKDAY(DATE(TahunKalender,1,24),1),"aaa")</f>
        <v>Mgg</v>
      </c>
      <c r="AA5" s="2" t="str">
        <f>TEXT(WEEKDAY(DATE(TahunKalender,1,25),1),"aaa")</f>
        <v>Sen</v>
      </c>
      <c r="AB5" s="2" t="str">
        <f>TEXT(WEEKDAY(DATE(TahunKalender,1,26),1),"aaa")</f>
        <v>Sel</v>
      </c>
      <c r="AC5" s="2" t="str">
        <f>TEXT(WEEKDAY(DATE(TahunKalender,1,27),1),"aaa")</f>
        <v>Rab</v>
      </c>
      <c r="AD5" s="2" t="str">
        <f>TEXT(WEEKDAY(DATE(TahunKalender,1,28),1),"aaa")</f>
        <v>Kam</v>
      </c>
      <c r="AE5" s="2" t="str">
        <f>TEXT(WEEKDAY(DATE(TahunKalender,1,29),1),"aaa")</f>
        <v>Jum</v>
      </c>
      <c r="AF5" s="2" t="str">
        <f>TEXT(WEEKDAY(DATE(TahunKalender,1,30),1),"aaa")</f>
        <v>Sab</v>
      </c>
      <c r="AG5" s="2" t="str">
        <f>TEXT(WEEKDAY(DATE(TahunKalender,1,31),1),"aaa")</f>
        <v>Mgg</v>
      </c>
      <c r="AH5" s="12"/>
    </row>
    <row r="6" spans="1: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1:34" ht="30" customHeight="1" x14ac:dyDescent="0.25">
      <c r="B7" s="9" t="s">
        <v>4</v>
      </c>
      <c r="C7" s="3"/>
      <c r="D7" s="3"/>
      <c r="E7" s="3" t="s">
        <v>9</v>
      </c>
      <c r="F7" s="3" t="s">
        <v>9</v>
      </c>
      <c r="G7" s="3" t="s">
        <v>9</v>
      </c>
      <c r="H7" s="3" t="s">
        <v>9</v>
      </c>
      <c r="I7" s="3"/>
      <c r="J7" s="3"/>
      <c r="K7" s="3"/>
      <c r="L7" s="3"/>
      <c r="M7" s="3"/>
      <c r="N7" s="3"/>
      <c r="O7" s="3" t="s">
        <v>9</v>
      </c>
      <c r="P7" s="3"/>
      <c r="Q7" s="3"/>
      <c r="R7" s="3"/>
      <c r="S7" s="3"/>
      <c r="T7" s="3"/>
      <c r="U7" s="3"/>
      <c r="V7" s="3"/>
      <c r="W7" s="3"/>
      <c r="X7" s="3"/>
      <c r="Y7" s="3"/>
      <c r="Z7" s="3"/>
      <c r="AA7" s="3"/>
      <c r="AB7" s="3"/>
      <c r="AC7" s="3"/>
      <c r="AD7" s="3"/>
      <c r="AE7" s="3"/>
      <c r="AF7" s="3"/>
      <c r="AG7" s="3"/>
      <c r="AH7" s="10">
        <f>COUNTA(Januari!$C7:$AG7)</f>
        <v>5</v>
      </c>
    </row>
    <row r="8" spans="1:34" ht="30" customHeight="1" x14ac:dyDescent="0.25">
      <c r="B8" s="9" t="s">
        <v>5</v>
      </c>
      <c r="C8" s="3"/>
      <c r="D8" s="3"/>
      <c r="E8" s="3"/>
      <c r="F8" s="3"/>
      <c r="G8" s="3" t="s">
        <v>17</v>
      </c>
      <c r="H8" s="3" t="s">
        <v>17</v>
      </c>
      <c r="I8" s="3"/>
      <c r="J8" s="3"/>
      <c r="K8" s="3"/>
      <c r="L8" s="3"/>
      <c r="M8" s="3" t="s">
        <v>15</v>
      </c>
      <c r="N8" s="3"/>
      <c r="O8" s="3"/>
      <c r="P8" s="3"/>
      <c r="Q8" s="3"/>
      <c r="R8" s="3"/>
      <c r="S8" s="3"/>
      <c r="T8" s="3"/>
      <c r="U8" s="3"/>
      <c r="V8" s="3" t="s">
        <v>17</v>
      </c>
      <c r="W8" s="3"/>
      <c r="X8" s="3"/>
      <c r="Y8" s="3"/>
      <c r="Z8" s="3"/>
      <c r="AA8" s="3" t="s">
        <v>9</v>
      </c>
      <c r="AB8" s="3" t="s">
        <v>9</v>
      </c>
      <c r="AC8" s="3" t="s">
        <v>9</v>
      </c>
      <c r="AD8" s="3"/>
      <c r="AE8" s="3"/>
      <c r="AF8" s="3"/>
      <c r="AG8" s="3"/>
      <c r="AH8" s="10">
        <f>COUNTA(Januari!$C8:$AG8)</f>
        <v>7</v>
      </c>
    </row>
    <row r="9" spans="1:34" ht="30" customHeight="1" x14ac:dyDescent="0.25">
      <c r="B9" s="9" t="s">
        <v>6</v>
      </c>
      <c r="C9" s="3"/>
      <c r="D9" s="3"/>
      <c r="E9" s="3" t="s">
        <v>15</v>
      </c>
      <c r="F9" s="3"/>
      <c r="G9" s="3"/>
      <c r="H9" s="3"/>
      <c r="I9" s="3"/>
      <c r="J9" s="3"/>
      <c r="K9" s="3"/>
      <c r="L9" s="3"/>
      <c r="M9" s="3"/>
      <c r="N9" s="3"/>
      <c r="O9" s="3"/>
      <c r="P9" s="3" t="s">
        <v>17</v>
      </c>
      <c r="Q9" s="3"/>
      <c r="R9" s="3"/>
      <c r="S9" s="3"/>
      <c r="T9" s="3"/>
      <c r="U9" s="3"/>
      <c r="V9" s="3"/>
      <c r="W9" s="3"/>
      <c r="X9" s="3"/>
      <c r="Y9" s="3"/>
      <c r="Z9" s="3"/>
      <c r="AA9" s="3"/>
      <c r="AB9" s="3"/>
      <c r="AC9" s="3"/>
      <c r="AD9" s="3"/>
      <c r="AE9" s="3" t="s">
        <v>17</v>
      </c>
      <c r="AF9" s="3"/>
      <c r="AG9" s="3"/>
      <c r="AH9" s="10">
        <f>COUNTA(Januari!$C9:$AG9)</f>
        <v>3</v>
      </c>
    </row>
    <row r="10" spans="1:34" ht="30" customHeight="1" x14ac:dyDescent="0.25">
      <c r="B10" s="9" t="s">
        <v>7</v>
      </c>
      <c r="C10" s="3"/>
      <c r="D10" s="3"/>
      <c r="E10" s="3"/>
      <c r="F10" s="3"/>
      <c r="G10" s="3"/>
      <c r="H10" s="3"/>
      <c r="I10" s="3" t="s">
        <v>15</v>
      </c>
      <c r="J10" s="3"/>
      <c r="K10" s="3"/>
      <c r="L10" s="3"/>
      <c r="M10" s="3"/>
      <c r="N10" s="3"/>
      <c r="O10" s="3"/>
      <c r="P10" s="3"/>
      <c r="Q10" s="3"/>
      <c r="R10" s="3"/>
      <c r="S10" s="3"/>
      <c r="T10" s="3"/>
      <c r="U10" s="3" t="s">
        <v>9</v>
      </c>
      <c r="V10" s="3" t="s">
        <v>9</v>
      </c>
      <c r="W10" s="3" t="s">
        <v>9</v>
      </c>
      <c r="X10" s="3"/>
      <c r="Y10" s="3"/>
      <c r="Z10" s="3"/>
      <c r="AA10" s="3"/>
      <c r="AB10" s="3"/>
      <c r="AC10" s="3"/>
      <c r="AD10" s="3"/>
      <c r="AE10" s="3"/>
      <c r="AF10" s="3"/>
      <c r="AG10" s="3"/>
      <c r="AH10" s="10">
        <f>COUNTA(Januari!$C10:$AG10)</f>
        <v>4</v>
      </c>
    </row>
    <row r="11" spans="1:34" ht="30" customHeight="1" x14ac:dyDescent="0.25">
      <c r="B11" s="9" t="s">
        <v>8</v>
      </c>
      <c r="C11" s="3"/>
      <c r="D11" s="3"/>
      <c r="E11" s="3"/>
      <c r="F11" s="3" t="s">
        <v>17</v>
      </c>
      <c r="G11" s="3" t="s">
        <v>9</v>
      </c>
      <c r="H11" s="3" t="s">
        <v>9</v>
      </c>
      <c r="I11" s="3"/>
      <c r="J11" s="3"/>
      <c r="K11" s="3"/>
      <c r="L11" s="3"/>
      <c r="M11" s="3"/>
      <c r="N11" s="3"/>
      <c r="O11" s="3"/>
      <c r="P11" s="3"/>
      <c r="Q11" s="3"/>
      <c r="R11" s="3"/>
      <c r="S11" s="3" t="s">
        <v>17</v>
      </c>
      <c r="T11" s="3"/>
      <c r="U11" s="3"/>
      <c r="V11" s="3"/>
      <c r="W11" s="3"/>
      <c r="X11" s="3"/>
      <c r="Y11" s="3"/>
      <c r="Z11" s="3" t="s">
        <v>17</v>
      </c>
      <c r="AA11" s="3"/>
      <c r="AB11" s="3"/>
      <c r="AC11" s="3"/>
      <c r="AD11" s="3"/>
      <c r="AE11" s="3"/>
      <c r="AF11" s="3"/>
      <c r="AG11" s="3" t="s">
        <v>9</v>
      </c>
      <c r="AH11" s="10">
        <f>COUNTA(Januari!$C11:$AG11)</f>
        <v>6</v>
      </c>
    </row>
    <row r="12" spans="1:34" ht="30" customHeight="1" x14ac:dyDescent="0.25">
      <c r="B12" s="21" t="str">
        <f>NamaBulan&amp;" Total"</f>
        <v>Januari Total</v>
      </c>
      <c r="C12" s="13">
        <f>SUBTOTAL(103,Januari!$C$7:$C$11)</f>
        <v>0</v>
      </c>
      <c r="D12" s="13">
        <f>SUBTOTAL(103,Januari!$D$7:$D$11)</f>
        <v>0</v>
      </c>
      <c r="E12" s="13">
        <f>SUBTOTAL(103,Januari!$E$7:$E$11)</f>
        <v>2</v>
      </c>
      <c r="F12" s="13">
        <f>SUBTOTAL(103,Januari!$F$7:$F$11)</f>
        <v>2</v>
      </c>
      <c r="G12" s="13">
        <f>SUBTOTAL(103,Januari!$G$7:$G$11)</f>
        <v>3</v>
      </c>
      <c r="H12" s="13">
        <f>SUBTOTAL(103,Januari!$H$7:$H$11)</f>
        <v>3</v>
      </c>
      <c r="I12" s="13">
        <f>SUBTOTAL(103,Januari!$I$7:$I$11)</f>
        <v>1</v>
      </c>
      <c r="J12" s="13">
        <f>SUBTOTAL(103,Januari!$J$7:$J$11)</f>
        <v>0</v>
      </c>
      <c r="K12" s="13">
        <f>SUBTOTAL(103,Januari!$K$7:$K$11)</f>
        <v>0</v>
      </c>
      <c r="L12" s="13">
        <f>SUBTOTAL(103,Januari!$L$7:$L$11)</f>
        <v>0</v>
      </c>
      <c r="M12" s="13">
        <f>SUBTOTAL(103,Januari!$M$7:$M$11)</f>
        <v>1</v>
      </c>
      <c r="N12" s="13">
        <f>SUBTOTAL(103,Januari!$N$7:$N$11)</f>
        <v>0</v>
      </c>
      <c r="O12" s="13">
        <f>SUBTOTAL(103,Januari!$O$7:$O$11)</f>
        <v>1</v>
      </c>
      <c r="P12" s="13">
        <f>SUBTOTAL(103,Januari!$P$7:$P$11)</f>
        <v>1</v>
      </c>
      <c r="Q12" s="13">
        <f>SUBTOTAL(103,Januari!$Q$7:$Q$11)</f>
        <v>0</v>
      </c>
      <c r="R12" s="13">
        <f>SUBTOTAL(103,Januari!$R$7:$R$11)</f>
        <v>0</v>
      </c>
      <c r="S12" s="13">
        <f>SUBTOTAL(103,Januari!$S$7:$S$11)</f>
        <v>1</v>
      </c>
      <c r="T12" s="13">
        <f>SUBTOTAL(103,Januari!$T$7:$T$11)</f>
        <v>0</v>
      </c>
      <c r="U12" s="13">
        <f>SUBTOTAL(103,Januari!$U$7:$U$11)</f>
        <v>1</v>
      </c>
      <c r="V12" s="13">
        <f>SUBTOTAL(103,Januari!$V$7:$V$11)</f>
        <v>2</v>
      </c>
      <c r="W12" s="13">
        <f>SUBTOTAL(103,Januari!$W$7:$W$11)</f>
        <v>1</v>
      </c>
      <c r="X12" s="13">
        <f>SUBTOTAL(103,Januari!$X$7:$X$11)</f>
        <v>0</v>
      </c>
      <c r="Y12" s="13">
        <f>SUBTOTAL(103,Januari!$Y$7:$Y$11)</f>
        <v>0</v>
      </c>
      <c r="Z12" s="13">
        <f>SUBTOTAL(103,Januari!$Z$7:$Z$11)</f>
        <v>1</v>
      </c>
      <c r="AA12" s="13">
        <f>SUBTOTAL(103,Januari!$AA$7:$AA$11)</f>
        <v>1</v>
      </c>
      <c r="AB12" s="13">
        <f>SUBTOTAL(103,Januari!$AB$7:$AB$11)</f>
        <v>1</v>
      </c>
      <c r="AC12" s="13">
        <f>SUBTOTAL(103,Januari!$AC$7:$AC$11)</f>
        <v>1</v>
      </c>
      <c r="AD12" s="13">
        <f>SUBTOTAL(103,Januari!$AD$7:$AD$11)</f>
        <v>0</v>
      </c>
      <c r="AE12" s="13">
        <f>SUBTOTAL(103,Januari!$AE$7:$AE$11)</f>
        <v>1</v>
      </c>
      <c r="AF12" s="13">
        <f>SUBTOTAL(103,Januari!$AF$7:$AF$11)</f>
        <v>0</v>
      </c>
      <c r="AG12" s="13">
        <f>SUBTOTAL(103,Januari!$AG$7:$AG$11)</f>
        <v>1</v>
      </c>
      <c r="AH12" s="13">
        <f>SUBTOTAL(109,Januari[Total Hari])</f>
        <v>25</v>
      </c>
    </row>
  </sheetData>
  <mergeCells count="6">
    <mergeCell ref="C4:AG4"/>
    <mergeCell ref="D2:F2"/>
    <mergeCell ref="H2:J2"/>
    <mergeCell ref="L2:M2"/>
    <mergeCell ref="O2:Q2"/>
    <mergeCell ref="S2:U2"/>
  </mergeCells>
  <conditionalFormatting sqref="C7:AG11">
    <cfRule type="expression" priority="1" stopIfTrue="1">
      <formula>C7=""</formula>
    </cfRule>
    <cfRule type="expression" dxfId="888" priority="6" stopIfTrue="1">
      <formula>C7=KustomKunci2</formula>
    </cfRule>
    <cfRule type="expression" dxfId="887" priority="7" stopIfTrue="1">
      <formula>C7=Kustomkunci1</formula>
    </cfRule>
    <cfRule type="expression" dxfId="886" priority="8" stopIfTrue="1">
      <formula>C7=SakitKunci</formula>
    </cfRule>
    <cfRule type="expression" dxfId="885" priority="9" stopIfTrue="1">
      <formula>C7=PribadiKunci</formula>
    </cfRule>
    <cfRule type="expression" dxfId="884" priority="10" stopIfTrue="1">
      <formula>C7=LiburanKunci</formula>
    </cfRule>
  </conditionalFormatting>
  <conditionalFormatting sqref="AH7:AH11">
    <cfRule type="dataBar" priority="168">
      <dataBar>
        <cfvo type="num" val="0"/>
        <cfvo type="num" val="31"/>
        <color theme="2" tint="-0.249977111117893"/>
      </dataBar>
      <extLst>
        <ext xmlns:x14="http://schemas.microsoft.com/office/spreadsheetml/2009/9/main" uri="{B025F937-C7B1-47D3-B67F-A62EFF666E3E}">
          <x14:id>{ECCE2C3C-1B01-4700-B60E-DAAAB19A9C1A}</x14:id>
        </ext>
      </extLst>
    </cfRule>
  </conditionalFormatting>
  <dataValidations count="15">
    <dataValidation allowBlank="1" showInputMessage="1" showErrorMessage="1" prompt="Masukkan tahun di sel ini" sqref="AH4"/>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Hari-hari dalam sebulan di baris ini dihasilkan secara otomatis. Masukkan jenis absen dan absen karyawan di setiap kolom untuk setiap hari dalam sebulan. Kosong berarti tidak ada absen" sqref="C6"/>
    <dataValidation allowBlank="1" showInputMessage="1" showErrorMessage="1" prompt="Hari kerja dalam baris ini diperbarui secara otomatis untuk bulan terkait sesuai tahun yang dimasukkan di AH4. Setiap hari dalam sebulan adalah kolom untuk mencatat jenis absen dan absen karyawan" sqref="C5"/>
    <dataValidation allowBlank="1" showInputMessage="1" showErrorMessage="1" prompt="Otomatis menghitung total jumlah hari karyawan absen bulan ini " sqref="AH6"/>
    <dataValidation allowBlank="1" showInputMessage="1" showErrorMessage="1" prompt="Judul lembar kerja ada di sel ini. Perbarui judul dan setiap lembar kerja pun akan otomatis mengikuti perubahannya" sqref="B1"/>
    <dataValidation allowBlank="1" showInputMessage="1" showErrorMessage="1" prompt="Bulan untuk jadwal absen ini. Perbarui tahun di sel AH4. Lacak total menurut bulan dalam sel terakhir tabel. Masukkan nama karyawan di tabel kolom B" sqref="B4"/>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Huruf &quot;L&quot; menunjukkan absen karena liburan" sqref="C2"/>
    <dataValidation allowBlank="1" showInputMessage="1" showErrorMessage="1" prompt="Huruf &quot;P&quot; menunjukkan absen karena alasan pribadi" sqref="G2"/>
    <dataValidation allowBlank="1" showInputMessage="1" showErrorMessage="1" prompt="Huruf &quot;S&quot; menunjukkan absen karena sakit" sqref="K2"/>
    <dataValidation allowBlank="1" showInputMessage="1" showErrorMessage="1" prompt="Masukkan huruf dan sesuaikan label di sebelah kanan untuk menambahkan item kunci lain" sqref="N2 R2"/>
    <dataValidation allowBlank="1" showInputMessage="1" showErrorMessage="1" prompt="Masukkan label untuk mendeskripsikan kunci kustom di sebelah kiri" sqref="O2:Q2 S2:U2"/>
    <dataValidation allowBlank="1" showInputMessage="1" showErrorMessage="1" prompt="Jadwal Absen Karyawan melacak absen karyawan berdasarkan hari untuk setiap bulan. Terdapat 13 lembar kerja, 12 bulanan &amp; satu untuk nama karyawan. Lacak absen bulan Januari di lembar kerja ini" sqref="A1"/>
    <dataValidation allowBlank="1" showInputMessage="1" showErrorMessage="1" prompt="Masukkan tahun dalam sel di bawah ini" sqref="AH3"/>
  </dataValidations>
  <printOptions horizontalCentered="1"/>
  <pageMargins left="0.23622047244094491" right="0.23622047244094491" top="0.74803149606299213" bottom="0.74803149606299213" header="0.31496062992125984" footer="0.31496062992125984"/>
  <pageSetup paperSize="9" scale="74"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CCE2C3C-1B01-4700-B60E-DAAAB19A9C1A}">
            <x14:dataBar minLength="0" maxLength="100">
              <x14:cfvo type="num">
                <xm:f>0</xm:f>
              </x14:cfvo>
              <x14:cfvo type="num">
                <xm:f>31</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749992370372631"/>
    <pageSetUpPr fitToPage="1"/>
  </sheetPr>
  <dimension ref="A1:AH12"/>
  <sheetViews>
    <sheetView showGridLines="0" zoomScaleNormal="100" workbookViewId="0"/>
  </sheetViews>
  <sheetFormatPr defaultColWidth="9.140625"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row>
    <row r="4" spans="2:34" ht="30" customHeight="1" x14ac:dyDescent="0.25">
      <c r="B4" s="12" t="s">
        <v>51</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TEXT(WEEKDAY(DATE(TahunKalender,2,1),1),"aaa")</f>
        <v>Sen</v>
      </c>
      <c r="D5" s="2" t="str">
        <f>TEXT(WEEKDAY(DATE(TahunKalender,2,2),1),"aaa")</f>
        <v>Sel</v>
      </c>
      <c r="E5" s="2" t="str">
        <f>TEXT(WEEKDAY(DATE(TahunKalender,2,3),1),"aaa")</f>
        <v>Rab</v>
      </c>
      <c r="F5" s="2" t="str">
        <f>TEXT(WEEKDAY(DATE(TahunKalender,2,4),1),"aaa")</f>
        <v>Kam</v>
      </c>
      <c r="G5" s="2" t="str">
        <f>TEXT(WEEKDAY(DATE(TahunKalender,2,5),1),"aaa")</f>
        <v>Jum</v>
      </c>
      <c r="H5" s="2" t="str">
        <f>TEXT(WEEKDAY(DATE(TahunKalender,2,6),1),"aaa")</f>
        <v>Sab</v>
      </c>
      <c r="I5" s="2" t="str">
        <f>TEXT(WEEKDAY(DATE(TahunKalender,2,7),1),"aaa")</f>
        <v>Mgg</v>
      </c>
      <c r="J5" s="2" t="str">
        <f>TEXT(WEEKDAY(DATE(TahunKalender,2,8),1),"aaa")</f>
        <v>Sen</v>
      </c>
      <c r="K5" s="2" t="str">
        <f>TEXT(WEEKDAY(DATE(TahunKalender,2,9),1),"aaa")</f>
        <v>Sel</v>
      </c>
      <c r="L5" s="2" t="str">
        <f>TEXT(WEEKDAY(DATE(TahunKalender,2,10),1),"aaa")</f>
        <v>Rab</v>
      </c>
      <c r="M5" s="2" t="str">
        <f>TEXT(WEEKDAY(DATE(TahunKalender,2,11),1),"aaa")</f>
        <v>Kam</v>
      </c>
      <c r="N5" s="2" t="str">
        <f>TEXT(WEEKDAY(DATE(TahunKalender,2,12),1),"aaa")</f>
        <v>Jum</v>
      </c>
      <c r="O5" s="2" t="str">
        <f>TEXT(WEEKDAY(DATE(TahunKalender,2,13),1),"aaa")</f>
        <v>Sab</v>
      </c>
      <c r="P5" s="2" t="str">
        <f>TEXT(WEEKDAY(DATE(TahunKalender,2,14),1),"aaa")</f>
        <v>Mgg</v>
      </c>
      <c r="Q5" s="2" t="str">
        <f>TEXT(WEEKDAY(DATE(TahunKalender,2,15),1),"aaa")</f>
        <v>Sen</v>
      </c>
      <c r="R5" s="2" t="str">
        <f>TEXT(WEEKDAY(DATE(TahunKalender,2,16),1),"aaa")</f>
        <v>Sel</v>
      </c>
      <c r="S5" s="2" t="str">
        <f>TEXT(WEEKDAY(DATE(TahunKalender,2,17),1),"aaa")</f>
        <v>Rab</v>
      </c>
      <c r="T5" s="2" t="str">
        <f>TEXT(WEEKDAY(DATE(TahunKalender,2,18),1),"aaa")</f>
        <v>Kam</v>
      </c>
      <c r="U5" s="2" t="str">
        <f>TEXT(WEEKDAY(DATE(TahunKalender,2,19),1),"aaa")</f>
        <v>Jum</v>
      </c>
      <c r="V5" s="2" t="str">
        <f>TEXT(WEEKDAY(DATE(TahunKalender,2,20),1),"aaa")</f>
        <v>Sab</v>
      </c>
      <c r="W5" s="2" t="str">
        <f>TEXT(WEEKDAY(DATE(TahunKalender,2,21),1),"aaa")</f>
        <v>Mgg</v>
      </c>
      <c r="X5" s="2" t="str">
        <f>TEXT(WEEKDAY(DATE(TahunKalender,2,22),1),"aaa")</f>
        <v>Sen</v>
      </c>
      <c r="Y5" s="2" t="str">
        <f>TEXT(WEEKDAY(DATE(TahunKalender,2,23),1),"aaa")</f>
        <v>Sel</v>
      </c>
      <c r="Z5" s="2" t="str">
        <f>TEXT(WEEKDAY(DATE(TahunKalender,2,24),1),"aaa")</f>
        <v>Rab</v>
      </c>
      <c r="AA5" s="2" t="str">
        <f>TEXT(WEEKDAY(DATE(TahunKalender,2,25),1),"aaa")</f>
        <v>Kam</v>
      </c>
      <c r="AB5" s="2" t="str">
        <f>TEXT(WEEKDAY(DATE(TahunKalender,2,26),1),"aaa")</f>
        <v>Jum</v>
      </c>
      <c r="AC5" s="2" t="str">
        <f>TEXT(WEEKDAY(DATE(TahunKalender,2,27),1),"aaa")</f>
        <v>Sab</v>
      </c>
      <c r="AD5" s="2" t="str">
        <f>TEXT(WEEKDAY(DATE(TahunKalender,2,28),1),"aaa")</f>
        <v>Mgg</v>
      </c>
      <c r="AE5" s="2" t="str">
        <f>TEXT(WEEKDAY(DATE(TahunKalender,2,29),1),"aaa")</f>
        <v>Sen</v>
      </c>
      <c r="AF5" s="2"/>
      <c r="AG5" s="2"/>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52</v>
      </c>
      <c r="AG6" s="3" t="s">
        <v>53</v>
      </c>
      <c r="AH6" s="16" t="s">
        <v>50</v>
      </c>
    </row>
    <row r="7" spans="2:34" ht="30" customHeight="1" x14ac:dyDescent="0.25">
      <c r="B7" s="17" t="s">
        <v>4</v>
      </c>
      <c r="C7" s="3"/>
      <c r="D7" s="3"/>
      <c r="E7" s="3" t="s">
        <v>9</v>
      </c>
      <c r="F7" s="3" t="s">
        <v>9</v>
      </c>
      <c r="G7" s="3" t="s">
        <v>9</v>
      </c>
      <c r="H7" s="3" t="s">
        <v>9</v>
      </c>
      <c r="I7" s="3"/>
      <c r="J7" s="3"/>
      <c r="K7" s="3"/>
      <c r="L7" s="3"/>
      <c r="M7" s="3"/>
      <c r="N7" s="3"/>
      <c r="O7" s="3" t="s">
        <v>9</v>
      </c>
      <c r="P7" s="3"/>
      <c r="Q7" s="3"/>
      <c r="R7" s="3"/>
      <c r="S7" s="3"/>
      <c r="T7" s="3"/>
      <c r="U7" s="3"/>
      <c r="V7" s="3"/>
      <c r="W7" s="3"/>
      <c r="X7" s="3"/>
      <c r="Y7" s="3"/>
      <c r="Z7" s="3"/>
      <c r="AA7" s="3"/>
      <c r="AB7" s="3"/>
      <c r="AC7" s="3"/>
      <c r="AD7" s="3"/>
      <c r="AE7" s="3"/>
      <c r="AF7" s="3"/>
      <c r="AG7" s="3"/>
      <c r="AH7" s="10">
        <f>COUNTA(Februari[[#This Row],[1]:[29]])</f>
        <v>5</v>
      </c>
    </row>
    <row r="8" spans="2:34" ht="30" customHeight="1" x14ac:dyDescent="0.25">
      <c r="B8" s="17" t="s">
        <v>5</v>
      </c>
      <c r="C8" s="3"/>
      <c r="D8" s="3"/>
      <c r="E8" s="3"/>
      <c r="F8" s="3"/>
      <c r="G8" s="3" t="s">
        <v>17</v>
      </c>
      <c r="H8" s="3" t="s">
        <v>17</v>
      </c>
      <c r="I8" s="3"/>
      <c r="J8" s="3"/>
      <c r="K8" s="3"/>
      <c r="L8" s="3"/>
      <c r="M8" s="3" t="s">
        <v>15</v>
      </c>
      <c r="N8" s="3"/>
      <c r="O8" s="3"/>
      <c r="P8" s="3"/>
      <c r="Q8" s="3"/>
      <c r="R8" s="3"/>
      <c r="S8" s="3"/>
      <c r="T8" s="3"/>
      <c r="U8" s="3"/>
      <c r="V8" s="3" t="s">
        <v>17</v>
      </c>
      <c r="W8" s="3"/>
      <c r="X8" s="3"/>
      <c r="Y8" s="3"/>
      <c r="Z8" s="3"/>
      <c r="AA8" s="3" t="s">
        <v>9</v>
      </c>
      <c r="AB8" s="3" t="s">
        <v>9</v>
      </c>
      <c r="AC8" s="3" t="s">
        <v>9</v>
      </c>
      <c r="AD8" s="3"/>
      <c r="AE8" s="3"/>
      <c r="AF8" s="3"/>
      <c r="AG8" s="3"/>
      <c r="AH8" s="10">
        <f>COUNTA(Februari[[#This Row],[1]:[29]])</f>
        <v>7</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COUNTA(Februari[[#This Row],[1]:[29]])</f>
        <v>0</v>
      </c>
    </row>
    <row r="10" spans="2:34" ht="30" customHeight="1" x14ac:dyDescent="0.25">
      <c r="B10" s="17" t="s">
        <v>7</v>
      </c>
      <c r="C10" s="3"/>
      <c r="D10" s="3"/>
      <c r="E10" s="3" t="s">
        <v>17</v>
      </c>
      <c r="F10" s="3"/>
      <c r="G10" s="3"/>
      <c r="H10" s="3"/>
      <c r="I10" s="3"/>
      <c r="J10" s="3"/>
      <c r="K10" s="3"/>
      <c r="L10" s="3"/>
      <c r="M10" s="3"/>
      <c r="N10" s="3"/>
      <c r="O10" s="3"/>
      <c r="P10" s="3" t="s">
        <v>17</v>
      </c>
      <c r="Q10" s="3"/>
      <c r="R10" s="3"/>
      <c r="S10" s="3"/>
      <c r="T10" s="3" t="s">
        <v>15</v>
      </c>
      <c r="U10" s="3"/>
      <c r="V10" s="3"/>
      <c r="W10" s="3"/>
      <c r="X10" s="3"/>
      <c r="Y10" s="3"/>
      <c r="Z10" s="3"/>
      <c r="AA10" s="3"/>
      <c r="AB10" s="3"/>
      <c r="AC10" s="3"/>
      <c r="AD10" s="3" t="s">
        <v>17</v>
      </c>
      <c r="AE10" s="3"/>
      <c r="AF10" s="3"/>
      <c r="AG10" s="3"/>
      <c r="AH10" s="10">
        <f>COUNTA(Februari[[#This Row],[1]:[29]])</f>
        <v>4</v>
      </c>
    </row>
    <row r="11" spans="2:34" ht="30" customHeight="1" x14ac:dyDescent="0.25">
      <c r="B11" s="17" t="s">
        <v>8</v>
      </c>
      <c r="C11" s="3"/>
      <c r="D11" s="3"/>
      <c r="E11" s="3"/>
      <c r="F11" s="3"/>
      <c r="G11" s="3"/>
      <c r="H11" s="3"/>
      <c r="I11" s="3"/>
      <c r="J11" s="3" t="s">
        <v>9</v>
      </c>
      <c r="K11" s="3" t="s">
        <v>9</v>
      </c>
      <c r="L11" s="3" t="s">
        <v>9</v>
      </c>
      <c r="M11" s="3" t="s">
        <v>9</v>
      </c>
      <c r="N11" s="3"/>
      <c r="O11" s="3"/>
      <c r="P11" s="3"/>
      <c r="Q11" s="3"/>
      <c r="R11" s="3"/>
      <c r="S11" s="3"/>
      <c r="T11" s="3"/>
      <c r="U11" s="3"/>
      <c r="V11" s="3"/>
      <c r="W11" s="3"/>
      <c r="X11" s="3"/>
      <c r="Y11" s="3"/>
      <c r="Z11" s="3" t="s">
        <v>17</v>
      </c>
      <c r="AA11" s="3"/>
      <c r="AB11" s="3"/>
      <c r="AC11" s="3"/>
      <c r="AD11" s="3"/>
      <c r="AE11" s="3"/>
      <c r="AF11" s="3"/>
      <c r="AG11" s="3"/>
      <c r="AH11" s="10">
        <f>COUNTA(Februari[[#This Row],[1]:[29]])</f>
        <v>5</v>
      </c>
    </row>
    <row r="12" spans="2:34" ht="30" customHeight="1" x14ac:dyDescent="0.25">
      <c r="B12" s="21" t="str">
        <f>NamaBulan&amp;" Total"</f>
        <v>Februari Total</v>
      </c>
      <c r="C12" s="13">
        <f>SUBTOTAL(103,Februari[1])</f>
        <v>0</v>
      </c>
      <c r="D12" s="13">
        <f>SUBTOTAL(103,Februari[2])</f>
        <v>0</v>
      </c>
      <c r="E12" s="13">
        <f>SUBTOTAL(103,Februari[3])</f>
        <v>2</v>
      </c>
      <c r="F12" s="13">
        <f>SUBTOTAL(103,Februari[4])</f>
        <v>1</v>
      </c>
      <c r="G12" s="13">
        <f>SUBTOTAL(103,Februari[5])</f>
        <v>2</v>
      </c>
      <c r="H12" s="13">
        <f>SUBTOTAL(103,Februari[6])</f>
        <v>2</v>
      </c>
      <c r="I12" s="13">
        <f>SUBTOTAL(103,Februari[7])</f>
        <v>0</v>
      </c>
      <c r="J12" s="13">
        <f>SUBTOTAL(103,Februari[8])</f>
        <v>1</v>
      </c>
      <c r="K12" s="13">
        <f>SUBTOTAL(103,Februari[9])</f>
        <v>1</v>
      </c>
      <c r="L12" s="13">
        <f>SUBTOTAL(103,Februari[10])</f>
        <v>1</v>
      </c>
      <c r="M12" s="13">
        <f>SUBTOTAL(103,Februari[11])</f>
        <v>2</v>
      </c>
      <c r="N12" s="13">
        <f>SUBTOTAL(103,Februari[12])</f>
        <v>0</v>
      </c>
      <c r="O12" s="13">
        <f>SUBTOTAL(103,Februari[13])</f>
        <v>1</v>
      </c>
      <c r="P12" s="13">
        <f>SUBTOTAL(103,Februari[14])</f>
        <v>1</v>
      </c>
      <c r="Q12" s="13">
        <f>SUBTOTAL(103,Februari[15])</f>
        <v>0</v>
      </c>
      <c r="R12" s="13">
        <f>SUBTOTAL(103,Februari[16])</f>
        <v>0</v>
      </c>
      <c r="S12" s="13">
        <f>SUBTOTAL(103,Februari[17])</f>
        <v>0</v>
      </c>
      <c r="T12" s="13">
        <f>SUBTOTAL(103,Februari[18])</f>
        <v>1</v>
      </c>
      <c r="U12" s="13">
        <f>SUBTOTAL(103,Februari[19])</f>
        <v>0</v>
      </c>
      <c r="V12" s="13">
        <f>SUBTOTAL(103,Februari[20])</f>
        <v>1</v>
      </c>
      <c r="W12" s="13">
        <f>SUBTOTAL(103,Februari[21])</f>
        <v>0</v>
      </c>
      <c r="X12" s="13">
        <f>SUBTOTAL(103,Februari[22])</f>
        <v>0</v>
      </c>
      <c r="Y12" s="13">
        <f>SUBTOTAL(103,Februari[23])</f>
        <v>0</v>
      </c>
      <c r="Z12" s="13">
        <f>SUBTOTAL(103,Februari[24])</f>
        <v>1</v>
      </c>
      <c r="AA12" s="13">
        <f>SUBTOTAL(103,Februari[25])</f>
        <v>1</v>
      </c>
      <c r="AB12" s="13">
        <f>SUBTOTAL(103,Februari[26])</f>
        <v>1</v>
      </c>
      <c r="AC12" s="13">
        <f>SUBTOTAL(103,Februari[27])</f>
        <v>1</v>
      </c>
      <c r="AD12" s="13">
        <f>SUBTOTAL(103,Februari[28])</f>
        <v>1</v>
      </c>
      <c r="AE12" s="13">
        <f>SUBTOTAL(103,Februari[29])</f>
        <v>0</v>
      </c>
      <c r="AF12" s="13"/>
      <c r="AG12" s="13"/>
      <c r="AH12" s="13">
        <f>SUBTOTAL(109,Februari[Total Hari])</f>
        <v>21</v>
      </c>
    </row>
  </sheetData>
  <mergeCells count="6">
    <mergeCell ref="C4:AG4"/>
    <mergeCell ref="D2:F2"/>
    <mergeCell ref="H2:J2"/>
    <mergeCell ref="L2:M2"/>
    <mergeCell ref="O2:Q2"/>
    <mergeCell ref="S2:U2"/>
  </mergeCells>
  <conditionalFormatting sqref="AE6">
    <cfRule type="expression" dxfId="815" priority="16">
      <formula>MONTH(DATE(TahunKalender,2,29))&lt;&gt;2</formula>
    </cfRule>
  </conditionalFormatting>
  <conditionalFormatting sqref="AE5">
    <cfRule type="expression" dxfId="814" priority="15">
      <formula>MONTH(DATE(TahunKalender,2,29))&lt;&gt;2</formula>
    </cfRule>
  </conditionalFormatting>
  <conditionalFormatting sqref="C7:AG11">
    <cfRule type="expression" priority="2" stopIfTrue="1">
      <formula>C7=""</formula>
    </cfRule>
    <cfRule type="expression" dxfId="813" priority="3" stopIfTrue="1">
      <formula>C7=KustomKunci2</formula>
    </cfRule>
  </conditionalFormatting>
  <conditionalFormatting sqref="C7:AG11">
    <cfRule type="expression" dxfId="812" priority="5" stopIfTrue="1">
      <formula>C7=Kustomkunci1</formula>
    </cfRule>
    <cfRule type="expression" dxfId="811" priority="6" stopIfTrue="1">
      <formula>C7=SakitKunci</formula>
    </cfRule>
    <cfRule type="expression" dxfId="810" priority="7" stopIfTrue="1">
      <formula>C7=PribadiKunci</formula>
    </cfRule>
    <cfRule type="expression" dxfId="809" priority="8" stopIfTrue="1">
      <formula>C7=LiburanKunci</formula>
    </cfRule>
  </conditionalFormatting>
  <conditionalFormatting sqref="AH7:AH11">
    <cfRule type="dataBar" priority="153">
      <dataBar>
        <cfvo type="min"/>
        <cfvo type="formula" val="DATEDIF(DATE(TahunKalender,2,1),DATE(TahunKalender,3,1),&quot;d&quot;)"/>
        <color theme="2" tint="-0.249977111117893"/>
      </dataBar>
      <extLst>
        <ext xmlns:x14="http://schemas.microsoft.com/office/spreadsheetml/2009/9/main" uri="{B025F937-C7B1-47D3-B67F-A62EFF666E3E}">
          <x14:id>{94738C71-AB78-40C3-A818-D083AE35CC38}</x14:id>
        </ext>
      </extLst>
    </cfRule>
  </conditionalFormatting>
  <dataValidations xWindow="232" yWindow="365" count="14">
    <dataValidation allowBlank="1" showInputMessage="1" showErrorMessage="1" prompt="Tahun yang otomatis diperbarui berdasarkan tahun yang dimasukkan dalam lembar kerja Januari" sqref="AH4"/>
    <dataValidation allowBlank="1" showInputMessage="1" showErrorMessage="1" prompt="Lacak absen bulan Februari di lembar kerja ini" sqref="A1"/>
    <dataValidation allowBlank="1" showInputMessage="1" showErrorMessage="1" prompt="Otomatis menghitung total jumlah hari karyawan absen bulan ini di kolom ini" sqref="AH6"/>
    <dataValidation allowBlank="1" showInputMessage="1" showErrorMessage="1" prompt="Judul yang diperbarui secara otomatis ada di sel ini. Untuk mengubah judul, perbarui B1 di lembar kerja Januari" sqref="B1"/>
    <dataValidation allowBlank="1" showInputMessage="1" showErrorMessage="1" prompt="Nama bulan untuk jadwal absen ini ada di sel ini. Total absen untuk bulan ini ada di sel terakhir tabel. Pilih nama karyawan di kolom tabel B" sqref="B4"/>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Masukkan label untuk mendeskripsikan kunci kustom di sebelah kiri" sqref="O2:Q2 S2:U2"/>
    <dataValidation allowBlank="1" showInputMessage="1" showErrorMessage="1" prompt="Masukkan huruf dan sesuaikan label di sebelah kanan untuk menambahkan item kunci lain" sqref="N2 R2"/>
    <dataValidation allowBlank="1" showInputMessage="1" showErrorMessage="1" prompt="Huruf &quot;S&quot; menunjukkan absen karena sakit" sqref="K2"/>
    <dataValidation allowBlank="1" showInputMessage="1" showErrorMessage="1" prompt="Huruf &quot;P&quot; menunjukkan absen karena alasan pribadi" sqref="G2"/>
    <dataValidation allowBlank="1" showInputMessage="1" showErrorMessage="1" prompt="Huruf &quot;L&quot; menunjukkan absen karena liburan" sqref="C2"/>
    <dataValidation allowBlank="1" showInputMessage="1" showErrorMessage="1" prompt="Hari kerja di baris ini diperbarui secara otomatis untuk bulan terkait sesuai dengan tahun di AH4. Setiap hari dalam sebulan adalah kolom untuk mencatat jenis absen dan absen karyawan" sqref="C5"/>
    <dataValidation allowBlank="1" showInputMessage="1" showErrorMessage="1" prompt="Hari-hari dalam sebulan di baris ini dihasilkan secara otomatis. Masukkan jenis absen dan absen karyawan di setiap kolom untuk setiap hari dalam sebulan. Kosong berarti tidak ada absen" sqref="C6"/>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94738C71-AB78-40C3-A818-D083AE35CC38}">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xWindow="232" yWindow="365" count="1">
        <x14:dataValidation type="list" allowBlank="1" showInputMessage="1" showErrorMessage="1">
          <x14:formula1>
            <xm:f>'Nama Karyawan'!$B$4:$B$8</xm:f>
          </x14:formula1>
          <xm:sqref>B7:B11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499984740745262"/>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54</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TEXT(WEEKDAY(DATE(TahunKalender,3,1),1),"aaa")</f>
        <v>Sel</v>
      </c>
      <c r="D5" s="2" t="str">
        <f>TEXT(WEEKDAY(DATE(TahunKalender,3,2),1),"aaa")</f>
        <v>Rab</v>
      </c>
      <c r="E5" s="2" t="str">
        <f>TEXT(WEEKDAY(DATE(TahunKalender,3,3),1),"aaa")</f>
        <v>Kam</v>
      </c>
      <c r="F5" s="2" t="str">
        <f>TEXT(WEEKDAY(DATE(TahunKalender,3,4),1),"aaa")</f>
        <v>Jum</v>
      </c>
      <c r="G5" s="2" t="str">
        <f>TEXT(WEEKDAY(DATE(TahunKalender,3,5),1),"aaa")</f>
        <v>Sab</v>
      </c>
      <c r="H5" s="2" t="str">
        <f>TEXT(WEEKDAY(DATE(TahunKalender,3,6),1),"aaa")</f>
        <v>Mgg</v>
      </c>
      <c r="I5" s="2" t="str">
        <f>TEXT(WEEKDAY(DATE(TahunKalender,3,7),1),"aaa")</f>
        <v>Sen</v>
      </c>
      <c r="J5" s="2" t="str">
        <f>TEXT(WEEKDAY(DATE(TahunKalender,3,8),1),"aaa")</f>
        <v>Sel</v>
      </c>
      <c r="K5" s="2" t="str">
        <f>TEXT(WEEKDAY(DATE(TahunKalender,3,9),1),"aaa")</f>
        <v>Rab</v>
      </c>
      <c r="L5" s="2" t="str">
        <f>TEXT(WEEKDAY(DATE(TahunKalender,3,10),1),"aaa")</f>
        <v>Kam</v>
      </c>
      <c r="M5" s="2" t="str">
        <f>TEXT(WEEKDAY(DATE(TahunKalender,3,11),1),"aaa")</f>
        <v>Jum</v>
      </c>
      <c r="N5" s="2" t="str">
        <f>TEXT(WEEKDAY(DATE(TahunKalender,3,12),1),"aaa")</f>
        <v>Sab</v>
      </c>
      <c r="O5" s="2" t="str">
        <f>TEXT(WEEKDAY(DATE(TahunKalender,3,13),1),"aaa")</f>
        <v>Mgg</v>
      </c>
      <c r="P5" s="2" t="str">
        <f>TEXT(WEEKDAY(DATE(TahunKalender,3,14),1),"aaa")</f>
        <v>Sen</v>
      </c>
      <c r="Q5" s="2" t="str">
        <f>TEXT(WEEKDAY(DATE(TahunKalender,3,15),1),"aaa")</f>
        <v>Sel</v>
      </c>
      <c r="R5" s="2" t="str">
        <f>TEXT(WEEKDAY(DATE(TahunKalender,3,16),1),"aaa")</f>
        <v>Rab</v>
      </c>
      <c r="S5" s="2" t="str">
        <f>TEXT(WEEKDAY(DATE(TahunKalender,3,17),1),"aaa")</f>
        <v>Kam</v>
      </c>
      <c r="T5" s="2" t="str">
        <f>TEXT(WEEKDAY(DATE(TahunKalender,3,18),1),"aaa")</f>
        <v>Jum</v>
      </c>
      <c r="U5" s="2" t="str">
        <f>TEXT(WEEKDAY(DATE(TahunKalender,3,19),1),"aaa")</f>
        <v>Sab</v>
      </c>
      <c r="V5" s="2" t="str">
        <f>TEXT(WEEKDAY(DATE(TahunKalender,3,20),1),"aaa")</f>
        <v>Mgg</v>
      </c>
      <c r="W5" s="2" t="str">
        <f>TEXT(WEEKDAY(DATE(TahunKalender,3,21),1),"aaa")</f>
        <v>Sen</v>
      </c>
      <c r="X5" s="2" t="str">
        <f>TEXT(WEEKDAY(DATE(TahunKalender,3,22),1),"aaa")</f>
        <v>Sel</v>
      </c>
      <c r="Y5" s="2" t="str">
        <f>TEXT(WEEKDAY(DATE(TahunKalender,3,23),1),"aaa")</f>
        <v>Rab</v>
      </c>
      <c r="Z5" s="2" t="str">
        <f>TEXT(WEEKDAY(DATE(TahunKalender,3,24),1),"aaa")</f>
        <v>Kam</v>
      </c>
      <c r="AA5" s="2" t="str">
        <f>TEXT(WEEKDAY(DATE(TahunKalender,3,25),1),"aaa")</f>
        <v>Jum</v>
      </c>
      <c r="AB5" s="2" t="str">
        <f>TEXT(WEEKDAY(DATE(TahunKalender,3,26),1),"aaa")</f>
        <v>Sab</v>
      </c>
      <c r="AC5" s="2" t="str">
        <f>TEXT(WEEKDAY(DATE(TahunKalender,3,27),1),"aaa")</f>
        <v>Mgg</v>
      </c>
      <c r="AD5" s="2" t="str">
        <f>TEXT(WEEKDAY(DATE(TahunKalender,3,28),1),"aaa")</f>
        <v>Sen</v>
      </c>
      <c r="AE5" s="2" t="str">
        <f>TEXT(WEEKDAY(DATE(TahunKalender,3,29),1),"aaa")</f>
        <v>Sel</v>
      </c>
      <c r="AF5" s="2" t="str">
        <f>TEXT(WEEKDAY(DATE(TahunKalender,3,30),1),"aaa")</f>
        <v>Rab</v>
      </c>
      <c r="AG5" s="2" t="str">
        <f>TEXT(WEEKDAY(DATE(TahunKalender,3,31),1),"aaa")</f>
        <v>Kam</v>
      </c>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COUNTA(Maret[[#This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COUNTA(Maret[[#This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COUNTA(Maret[[#This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COUNTA(Maret[[#This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COUNTA(Maret[[#This Row],[1]:[31]])</f>
        <v>0</v>
      </c>
    </row>
    <row r="12" spans="2:34" ht="30" customHeight="1" x14ac:dyDescent="0.25">
      <c r="B12" s="21" t="str">
        <f>NamaBulan&amp;" Total"</f>
        <v>Maret Total</v>
      </c>
      <c r="C12" s="13">
        <f>SUBTOTAL(103,Maret[1])</f>
        <v>0</v>
      </c>
      <c r="D12" s="13">
        <f>SUBTOTAL(103,Maret[2])</f>
        <v>0</v>
      </c>
      <c r="E12" s="13">
        <f>SUBTOTAL(103,Maret[3])</f>
        <v>0</v>
      </c>
      <c r="F12" s="13">
        <f>SUBTOTAL(103,Maret[4])</f>
        <v>0</v>
      </c>
      <c r="G12" s="13">
        <f>SUBTOTAL(103,Maret[5])</f>
        <v>0</v>
      </c>
      <c r="H12" s="13">
        <f>SUBTOTAL(103,Maret[6])</f>
        <v>0</v>
      </c>
      <c r="I12" s="13">
        <f>SUBTOTAL(103,Maret[7])</f>
        <v>0</v>
      </c>
      <c r="J12" s="13">
        <f>SUBTOTAL(103,Maret[8])</f>
        <v>0</v>
      </c>
      <c r="K12" s="13">
        <f>SUBTOTAL(103,Maret[9])</f>
        <v>0</v>
      </c>
      <c r="L12" s="13">
        <f>SUBTOTAL(103,Maret[10])</f>
        <v>0</v>
      </c>
      <c r="M12" s="13">
        <f>SUBTOTAL(103,Maret[11])</f>
        <v>0</v>
      </c>
      <c r="N12" s="13">
        <f>SUBTOTAL(103,Maret[12])</f>
        <v>0</v>
      </c>
      <c r="O12" s="13">
        <f>SUBTOTAL(103,Maret[13])</f>
        <v>0</v>
      </c>
      <c r="P12" s="13">
        <f>SUBTOTAL(103,Maret[14])</f>
        <v>0</v>
      </c>
      <c r="Q12" s="13">
        <f>SUBTOTAL(103,Maret[15])</f>
        <v>0</v>
      </c>
      <c r="R12" s="13">
        <f>SUBTOTAL(103,Maret[16])</f>
        <v>0</v>
      </c>
      <c r="S12" s="13">
        <f>SUBTOTAL(103,Maret[17])</f>
        <v>0</v>
      </c>
      <c r="T12" s="13">
        <f>SUBTOTAL(103,Maret[18])</f>
        <v>0</v>
      </c>
      <c r="U12" s="13">
        <f>SUBTOTAL(103,Maret[19])</f>
        <v>0</v>
      </c>
      <c r="V12" s="13">
        <f>SUBTOTAL(103,Maret[20])</f>
        <v>0</v>
      </c>
      <c r="W12" s="13">
        <f>SUBTOTAL(103,Maret[21])</f>
        <v>0</v>
      </c>
      <c r="X12" s="13">
        <f>SUBTOTAL(103,Maret[22])</f>
        <v>0</v>
      </c>
      <c r="Y12" s="13">
        <f>SUBTOTAL(103,Maret[23])</f>
        <v>0</v>
      </c>
      <c r="Z12" s="13">
        <f>SUBTOTAL(103,Maret[24])</f>
        <v>0</v>
      </c>
      <c r="AA12" s="13">
        <f>SUBTOTAL(103,Maret[25])</f>
        <v>0</v>
      </c>
      <c r="AB12" s="13">
        <f>SUBTOTAL(103,Maret[26])</f>
        <v>0</v>
      </c>
      <c r="AC12" s="13">
        <f>SUBTOTAL(103,Maret[27])</f>
        <v>0</v>
      </c>
      <c r="AD12" s="13">
        <f>SUBTOTAL(103,Maret[28])</f>
        <v>0</v>
      </c>
      <c r="AE12" s="13">
        <f>SUBTOTAL(103,Maret[29])</f>
        <v>0</v>
      </c>
      <c r="AF12" s="13">
        <f>SUBTOTAL(109,Maret[[30 ]])</f>
        <v>0</v>
      </c>
      <c r="AG12" s="13">
        <f>SUBTOTAL(109,Maret[31])</f>
        <v>0</v>
      </c>
      <c r="AH12" s="13">
        <f>SUBTOTAL(109,Maret[Total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739" priority="2" stopIfTrue="1">
      <formula>C7=KustomKunci2</formula>
    </cfRule>
    <cfRule type="expression" dxfId="738" priority="3" stopIfTrue="1">
      <formula>C7=Kustomkunci1</formula>
    </cfRule>
    <cfRule type="expression" dxfId="737" priority="4" stopIfTrue="1">
      <formula>C7=SakitKunci</formula>
    </cfRule>
    <cfRule type="expression" dxfId="736" priority="5" stopIfTrue="1">
      <formula>C7=PribadiKunci</formula>
    </cfRule>
    <cfRule type="expression" dxfId="735"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{7C2B6C3E-666E-4369-8C57-FD32A7D03A3C}</x14:id>
        </ext>
      </extLst>
    </cfRule>
  </conditionalFormatting>
  <dataValidations count="14">
    <dataValidation allowBlank="1" showInputMessage="1" showErrorMessage="1" prompt="Hari-hari dalam sebulan di baris ini dihasilkan secara otomatis. Masukkan jenis absen dan absen karyawan di setiap kolom untuk setiap hari dalam sebulan. Kosong berarti tidak ada absen" sqref="C6"/>
    <dataValidation allowBlank="1" showInputMessage="1" showErrorMessage="1" prompt="Hari kerja di baris ini diperbarui secara otomatis untuk bulan terkait sesuai dengan tahun di AH4. Setiap hari dalam sebulan adalah kolom untuk mencatat jenis absen dan absen karyawan" sqref="C5"/>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Masukkan label untuk mendeskripsikan kunci kustom di sebelah kiri" sqref="O2:Q2 S2:U2"/>
    <dataValidation allowBlank="1" showInputMessage="1" showErrorMessage="1" prompt="Masukkan huruf dan sesuaikan label di sebelah kanan untuk menambahkan item kunci lain" sqref="N2 R2"/>
    <dataValidation allowBlank="1" showInputMessage="1" showErrorMessage="1" prompt="Huruf &quot;S&quot; menunjukkan absen karena sakit" sqref="K2"/>
    <dataValidation allowBlank="1" showInputMessage="1" showErrorMessage="1" prompt="Huruf &quot;P&quot; menunjukkan absen karena alasan pribadi" sqref="G2"/>
    <dataValidation allowBlank="1" showInputMessage="1" showErrorMessage="1" prompt="Huruf &quot;L&quot; menunjukkan absen karena liburan" sqref="C2"/>
    <dataValidation allowBlank="1" showInputMessage="1" showErrorMessage="1" prompt="Judul yang diperbarui secara otomatis ada di sel ini. Untuk mengubah judul, perbarui B1 di lembar kerja Januari" sqref="B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Lacak absen bulan Maret di lembar kerja ini" sqref="A1"/>
    <dataValidation allowBlank="1" showInputMessage="1" showErrorMessage="1" prompt="Otomatis menghitung total jumlah hari karyawan absen bulan ini di kolom ini" sqref="AH6"/>
    <dataValidation allowBlank="1" showInputMessage="1" showErrorMessage="1" prompt="Tahun yang otomatis diperbarui berdasarkan tahun yang dimasukkan dalam lembar kerja Januari" sqref="AH4"/>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7C2B6C3E-666E-4369-8C57-FD32A7D03A3C}">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249977111117893"/>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55</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TEXT(WEEKDAY(DATE(TahunKalender,4,1),1),"aaa")</f>
        <v>Jum</v>
      </c>
      <c r="D5" s="2" t="str">
        <f>TEXT(WEEKDAY(DATE(TahunKalender,4,2),1),"aaa")</f>
        <v>Sab</v>
      </c>
      <c r="E5" s="2" t="str">
        <f>TEXT(WEEKDAY(DATE(TahunKalender,4,3),1),"aaa")</f>
        <v>Mgg</v>
      </c>
      <c r="F5" s="2" t="str">
        <f>TEXT(WEEKDAY(DATE(TahunKalender,4,4),1),"aaa")</f>
        <v>Sen</v>
      </c>
      <c r="G5" s="2" t="str">
        <f>TEXT(WEEKDAY(DATE(TahunKalender,4,5),1),"aaa")</f>
        <v>Sel</v>
      </c>
      <c r="H5" s="2" t="str">
        <f>TEXT(WEEKDAY(DATE(TahunKalender,4,6),1),"aaa")</f>
        <v>Rab</v>
      </c>
      <c r="I5" s="2" t="str">
        <f>TEXT(WEEKDAY(DATE(TahunKalender,4,7),1),"aaa")</f>
        <v>Kam</v>
      </c>
      <c r="J5" s="2" t="str">
        <f>TEXT(WEEKDAY(DATE(TahunKalender,4,8),1),"aaa")</f>
        <v>Jum</v>
      </c>
      <c r="K5" s="2" t="str">
        <f>TEXT(WEEKDAY(DATE(TahunKalender,4,9),1),"aaa")</f>
        <v>Sab</v>
      </c>
      <c r="L5" s="2" t="str">
        <f>TEXT(WEEKDAY(DATE(TahunKalender,4,10),1),"aaa")</f>
        <v>Mgg</v>
      </c>
      <c r="M5" s="2" t="str">
        <f>TEXT(WEEKDAY(DATE(TahunKalender,4,11),1),"aaa")</f>
        <v>Sen</v>
      </c>
      <c r="N5" s="2" t="str">
        <f>TEXT(WEEKDAY(DATE(TahunKalender,4,12),1),"aaa")</f>
        <v>Sel</v>
      </c>
      <c r="O5" s="2" t="str">
        <f>TEXT(WEEKDAY(DATE(TahunKalender,4,13),1),"aaa")</f>
        <v>Rab</v>
      </c>
      <c r="P5" s="2" t="str">
        <f>TEXT(WEEKDAY(DATE(TahunKalender,4,14),1),"aaa")</f>
        <v>Kam</v>
      </c>
      <c r="Q5" s="2" t="str">
        <f>TEXT(WEEKDAY(DATE(TahunKalender,4,15),1),"aaa")</f>
        <v>Jum</v>
      </c>
      <c r="R5" s="2" t="str">
        <f>TEXT(WEEKDAY(DATE(TahunKalender,4,16),1),"aaa")</f>
        <v>Sab</v>
      </c>
      <c r="S5" s="2" t="str">
        <f>TEXT(WEEKDAY(DATE(TahunKalender,4,17),1),"aaa")</f>
        <v>Mgg</v>
      </c>
      <c r="T5" s="2" t="str">
        <f>TEXT(WEEKDAY(DATE(TahunKalender,4,18),1),"aaa")</f>
        <v>Sen</v>
      </c>
      <c r="U5" s="2" t="str">
        <f>TEXT(WEEKDAY(DATE(TahunKalender,4,19),1),"aaa")</f>
        <v>Sel</v>
      </c>
      <c r="V5" s="2" t="str">
        <f>TEXT(WEEKDAY(DATE(TahunKalender,4,20),1),"aaa")</f>
        <v>Rab</v>
      </c>
      <c r="W5" s="2" t="str">
        <f>TEXT(WEEKDAY(DATE(TahunKalender,4,21),1),"aaa")</f>
        <v>Kam</v>
      </c>
      <c r="X5" s="2" t="str">
        <f>TEXT(WEEKDAY(DATE(TahunKalender,4,22),1),"aaa")</f>
        <v>Jum</v>
      </c>
      <c r="Y5" s="2" t="str">
        <f>TEXT(WEEKDAY(DATE(TahunKalender,4,23),1),"aaa")</f>
        <v>Sab</v>
      </c>
      <c r="Z5" s="2" t="str">
        <f>TEXT(WEEKDAY(DATE(TahunKalender,4,24),1),"aaa")</f>
        <v>Mgg</v>
      </c>
      <c r="AA5" s="2" t="str">
        <f>TEXT(WEEKDAY(DATE(TahunKalender,4,25),1),"aaa")</f>
        <v>Sen</v>
      </c>
      <c r="AB5" s="2" t="str">
        <f>TEXT(WEEKDAY(DATE(TahunKalender,4,26),1),"aaa")</f>
        <v>Sel</v>
      </c>
      <c r="AC5" s="2" t="str">
        <f>TEXT(WEEKDAY(DATE(TahunKalender,4,27),1),"aaa")</f>
        <v>Rab</v>
      </c>
      <c r="AD5" s="2" t="str">
        <f>TEXT(WEEKDAY(DATE(TahunKalender,4,28),1),"aaa")</f>
        <v>Kam</v>
      </c>
      <c r="AE5" s="2" t="str">
        <f>TEXT(WEEKDAY(DATE(TahunKalender,4,29),1),"aaa")</f>
        <v>Jum</v>
      </c>
      <c r="AF5" s="2" t="str">
        <f>TEXT(WEEKDAY(DATE(TahunKalender,4,30),1),"aaa")</f>
        <v>Sab</v>
      </c>
      <c r="AG5" s="2"/>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COUNTA(April[[#This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COUNTA(April[[#This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COUNTA(April[[#This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COUNTA(April[[#This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COUNTA(April[[#This Row],[1]:[31]])</f>
        <v>0</v>
      </c>
    </row>
    <row r="12" spans="2:34" ht="30" customHeight="1" x14ac:dyDescent="0.25">
      <c r="B12" s="21" t="str">
        <f>NamaBulan&amp;" Total"</f>
        <v>April Total</v>
      </c>
      <c r="C12" s="13">
        <f>SUBTOTAL(103,April[1])</f>
        <v>0</v>
      </c>
      <c r="D12" s="13">
        <f>SUBTOTAL(103,April[2])</f>
        <v>0</v>
      </c>
      <c r="E12" s="13">
        <f>SUBTOTAL(103,April[3])</f>
        <v>0</v>
      </c>
      <c r="F12" s="13">
        <f>SUBTOTAL(103,April[4])</f>
        <v>0</v>
      </c>
      <c r="G12" s="13">
        <f>SUBTOTAL(103,April[5])</f>
        <v>0</v>
      </c>
      <c r="H12" s="13">
        <f>SUBTOTAL(103,April[6])</f>
        <v>0</v>
      </c>
      <c r="I12" s="13">
        <f>SUBTOTAL(103,April[7])</f>
        <v>0</v>
      </c>
      <c r="J12" s="13">
        <f>SUBTOTAL(103,April[8])</f>
        <v>0</v>
      </c>
      <c r="K12" s="13">
        <f>SUBTOTAL(103,April[9])</f>
        <v>0</v>
      </c>
      <c r="L12" s="13">
        <f>SUBTOTAL(103,April[10])</f>
        <v>0</v>
      </c>
      <c r="M12" s="13">
        <f>SUBTOTAL(103,April[11])</f>
        <v>0</v>
      </c>
      <c r="N12" s="13">
        <f>SUBTOTAL(103,April[12])</f>
        <v>0</v>
      </c>
      <c r="O12" s="13">
        <f>SUBTOTAL(103,April[13])</f>
        <v>0</v>
      </c>
      <c r="P12" s="13">
        <f>SUBTOTAL(103,April[14])</f>
        <v>0</v>
      </c>
      <c r="Q12" s="13">
        <f>SUBTOTAL(103,April[15])</f>
        <v>0</v>
      </c>
      <c r="R12" s="13">
        <f>SUBTOTAL(103,April[16])</f>
        <v>0</v>
      </c>
      <c r="S12" s="13">
        <f>SUBTOTAL(103,April[17])</f>
        <v>0</v>
      </c>
      <c r="T12" s="13">
        <f>SUBTOTAL(103,April[18])</f>
        <v>0</v>
      </c>
      <c r="U12" s="13">
        <f>SUBTOTAL(103,April[19])</f>
        <v>0</v>
      </c>
      <c r="V12" s="13">
        <f>SUBTOTAL(103,April[20])</f>
        <v>0</v>
      </c>
      <c r="W12" s="13">
        <f>SUBTOTAL(103,April[21])</f>
        <v>0</v>
      </c>
      <c r="X12" s="13">
        <f>SUBTOTAL(103,April[22])</f>
        <v>0</v>
      </c>
      <c r="Y12" s="13">
        <f>SUBTOTAL(103,April[23])</f>
        <v>0</v>
      </c>
      <c r="Z12" s="13">
        <f>SUBTOTAL(103,April[24])</f>
        <v>0</v>
      </c>
      <c r="AA12" s="13">
        <f>SUBTOTAL(103,April[25])</f>
        <v>0</v>
      </c>
      <c r="AB12" s="13">
        <f>SUBTOTAL(103,April[26])</f>
        <v>0</v>
      </c>
      <c r="AC12" s="13">
        <f>SUBTOTAL(103,April[27])</f>
        <v>0</v>
      </c>
      <c r="AD12" s="13">
        <f>SUBTOTAL(103,April[28])</f>
        <v>0</v>
      </c>
      <c r="AE12" s="13">
        <f>SUBTOTAL(103,April[29])</f>
        <v>0</v>
      </c>
      <c r="AF12" s="13">
        <f>SUBTOTAL(109,April[[30 ]])</f>
        <v>0</v>
      </c>
      <c r="AG12" s="13">
        <f>SUBTOTAL(109,April[31])</f>
        <v>0</v>
      </c>
      <c r="AH12" s="13">
        <f>SUBTOTAL(109,April[Total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665" priority="2" stopIfTrue="1">
      <formula>C7=KustomKunci2</formula>
    </cfRule>
    <cfRule type="expression" dxfId="664" priority="3" stopIfTrue="1">
      <formula>C7=Kustomkunci1</formula>
    </cfRule>
    <cfRule type="expression" dxfId="663" priority="4" stopIfTrue="1">
      <formula>C7=SakitKunci</formula>
    </cfRule>
    <cfRule type="expression" dxfId="662" priority="5" stopIfTrue="1">
      <formula>C7=PribadiKunci</formula>
    </cfRule>
    <cfRule type="expression" dxfId="661"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{0C86709F-D813-4066-A3F1-C30F11214F4B}</x14:id>
        </ext>
      </extLst>
    </cfRule>
  </conditionalFormatting>
  <dataValidations count="14">
    <dataValidation allowBlank="1" showInputMessage="1" showErrorMessage="1" prompt="Tahun yang otomatis diperbarui berdasarkan tahun yang dimasukkan dalam lembar kerja Januari" sqref="AH4"/>
    <dataValidation allowBlank="1" showInputMessage="1" showErrorMessage="1" prompt="Otomatis menghitung total jumlah hari karyawan absen bulan ini di kolom ini" sqref="AH6"/>
    <dataValidation allowBlank="1" showInputMessage="1" showErrorMessage="1" prompt="Lacak absen bulan April di lembar kerja ini" sqref="A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Judul yang diperbarui secara otomatis ada di sel ini. Untuk mengubah judul, perbarui B1 di lembar kerja Januari" sqref="B1"/>
    <dataValidation allowBlank="1" showInputMessage="1" showErrorMessage="1" prompt="Huruf &quot;L&quot; menunjukkan absen karena liburan" sqref="C2"/>
    <dataValidation allowBlank="1" showInputMessage="1" showErrorMessage="1" prompt="Huruf &quot;P&quot; menunjukkan absen karena alasan pribadi" sqref="G2"/>
    <dataValidation allowBlank="1" showInputMessage="1" showErrorMessage="1" prompt="Huruf &quot;S&quot; menunjukkan absen karena sakit" sqref="K2"/>
    <dataValidation allowBlank="1" showInputMessage="1" showErrorMessage="1" prompt="Masukkan huruf dan sesuaikan label di sebelah kanan untuk menambahkan item kunci lain" sqref="N2 R2"/>
    <dataValidation allowBlank="1" showInputMessage="1" showErrorMessage="1" prompt="Masukkan label untuk mendeskripsikan kunci kustom di sebelah kiri" sqref="O2:Q2 S2:U2"/>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Hari-hari dalam sebulan di baris ini dihasilkan secara otomatis. Masukkan jenis absen dan absen karyawan di setiap kolom untuk setiap hari dalam sebulan. Kosong berarti tidak ada absen" sqref="C6"/>
    <dataValidation allowBlank="1" showInputMessage="1" showErrorMessage="1" prompt="Hari kerja di baris ini diperbarui secara otomatis untuk bulan terkait sesuai dengan tahun di AH4. Setiap hari dalam sebulan adalah kolom untuk mencatat jenis absen dan absen karyawan" sqref="C5"/>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C86709F-D813-4066-A3F1-C30F11214F4B}">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9.9978637043366805E-2"/>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56</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TEXT(WEEKDAY(DATE(TahunKalender,5,1),1),"aaa")</f>
        <v>Mgg</v>
      </c>
      <c r="D5" s="2" t="str">
        <f>TEXT(WEEKDAY(DATE(TahunKalender,5,2),1),"aaa")</f>
        <v>Sen</v>
      </c>
      <c r="E5" s="2" t="str">
        <f>TEXT(WEEKDAY(DATE(TahunKalender,5,3),1),"aaa")</f>
        <v>Sel</v>
      </c>
      <c r="F5" s="2" t="str">
        <f>TEXT(WEEKDAY(DATE(TahunKalender,5,4),1),"aaa")</f>
        <v>Rab</v>
      </c>
      <c r="G5" s="2" t="str">
        <f>TEXT(WEEKDAY(DATE(TahunKalender,5,5),1),"aaa")</f>
        <v>Kam</v>
      </c>
      <c r="H5" s="2" t="str">
        <f>TEXT(WEEKDAY(DATE(TahunKalender,5,6),1),"aaa")</f>
        <v>Jum</v>
      </c>
      <c r="I5" s="2" t="str">
        <f>TEXT(WEEKDAY(DATE(TahunKalender,5,7),1),"aaa")</f>
        <v>Sab</v>
      </c>
      <c r="J5" s="2" t="str">
        <f>TEXT(WEEKDAY(DATE(TahunKalender,5,8),1),"aaa")</f>
        <v>Mgg</v>
      </c>
      <c r="K5" s="2" t="str">
        <f>TEXT(WEEKDAY(DATE(TahunKalender,5,9),1),"aaa")</f>
        <v>Sen</v>
      </c>
      <c r="L5" s="2" t="str">
        <f>TEXT(WEEKDAY(DATE(TahunKalender,5,10),1),"aaa")</f>
        <v>Sel</v>
      </c>
      <c r="M5" s="2" t="str">
        <f>TEXT(WEEKDAY(DATE(TahunKalender,5,11),1),"aaa")</f>
        <v>Rab</v>
      </c>
      <c r="N5" s="2" t="str">
        <f>TEXT(WEEKDAY(DATE(TahunKalender,5,12),1),"aaa")</f>
        <v>Kam</v>
      </c>
      <c r="O5" s="2" t="str">
        <f>TEXT(WEEKDAY(DATE(TahunKalender,5,13),1),"aaa")</f>
        <v>Jum</v>
      </c>
      <c r="P5" s="2" t="str">
        <f>TEXT(WEEKDAY(DATE(TahunKalender,5,14),1),"aaa")</f>
        <v>Sab</v>
      </c>
      <c r="Q5" s="2" t="str">
        <f>TEXT(WEEKDAY(DATE(TahunKalender,5,15),1),"aaa")</f>
        <v>Mgg</v>
      </c>
      <c r="R5" s="2" t="str">
        <f>TEXT(WEEKDAY(DATE(TahunKalender,5,16),1),"aaa")</f>
        <v>Sen</v>
      </c>
      <c r="S5" s="2" t="str">
        <f>TEXT(WEEKDAY(DATE(TahunKalender,5,17),1),"aaa")</f>
        <v>Sel</v>
      </c>
      <c r="T5" s="2" t="str">
        <f>TEXT(WEEKDAY(DATE(TahunKalender,5,18),1),"aaa")</f>
        <v>Rab</v>
      </c>
      <c r="U5" s="2" t="str">
        <f>TEXT(WEEKDAY(DATE(TahunKalender,5,19),1),"aaa")</f>
        <v>Kam</v>
      </c>
      <c r="V5" s="2" t="str">
        <f>TEXT(WEEKDAY(DATE(TahunKalender,5,20),1),"aaa")</f>
        <v>Jum</v>
      </c>
      <c r="W5" s="2" t="str">
        <f>TEXT(WEEKDAY(DATE(TahunKalender,5,21),1),"aaa")</f>
        <v>Sab</v>
      </c>
      <c r="X5" s="2" t="str">
        <f>TEXT(WEEKDAY(DATE(TahunKalender,5,22),1),"aaa")</f>
        <v>Mgg</v>
      </c>
      <c r="Y5" s="2" t="str">
        <f>TEXT(WEEKDAY(DATE(TahunKalender,5,23),1),"aaa")</f>
        <v>Sen</v>
      </c>
      <c r="Z5" s="2" t="str">
        <f>TEXT(WEEKDAY(DATE(TahunKalender,5,24),1),"aaa")</f>
        <v>Sel</v>
      </c>
      <c r="AA5" s="2" t="str">
        <f>TEXT(WEEKDAY(DATE(TahunKalender,5,25),1),"aaa")</f>
        <v>Rab</v>
      </c>
      <c r="AB5" s="2" t="str">
        <f>TEXT(WEEKDAY(DATE(TahunKalender,5,26),1),"aaa")</f>
        <v>Kam</v>
      </c>
      <c r="AC5" s="2" t="str">
        <f>TEXT(WEEKDAY(DATE(TahunKalender,5,27),1),"aaa")</f>
        <v>Jum</v>
      </c>
      <c r="AD5" s="2" t="str">
        <f>TEXT(WEEKDAY(DATE(TahunKalender,5,28),1),"aaa")</f>
        <v>Sab</v>
      </c>
      <c r="AE5" s="2" t="str">
        <f>TEXT(WEEKDAY(DATE(TahunKalender,5,29),1),"aaa")</f>
        <v>Mgg</v>
      </c>
      <c r="AF5" s="2" t="str">
        <f>TEXT(WEEKDAY(DATE(TahunKalender,5,30),1),"aaa")</f>
        <v>Sen</v>
      </c>
      <c r="AG5" s="2" t="str">
        <f>TEXT(WEEKDAY(DATE(TahunKalender,5,31),1),"aaa")</f>
        <v>Sel</v>
      </c>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COUNTA(Mei[[#This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COUNTA(Mei[[#This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COUNTA(Mei[[#This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COUNTA(Mei[[#This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COUNTA(Mei[[#This Row],[1]:[31]])</f>
        <v>0</v>
      </c>
    </row>
    <row r="12" spans="2:34" ht="30" customHeight="1" x14ac:dyDescent="0.25">
      <c r="B12" s="21" t="str">
        <f>NamaBulan&amp;" Total"</f>
        <v>Mei Total</v>
      </c>
      <c r="C12" s="13">
        <f>SUBTOTAL(103,Mei[1])</f>
        <v>0</v>
      </c>
      <c r="D12" s="13">
        <f>SUBTOTAL(103,Mei[2])</f>
        <v>0</v>
      </c>
      <c r="E12" s="13">
        <f>SUBTOTAL(103,Mei[3])</f>
        <v>0</v>
      </c>
      <c r="F12" s="13">
        <f>SUBTOTAL(103,Mei[4])</f>
        <v>0</v>
      </c>
      <c r="G12" s="13">
        <f>SUBTOTAL(103,Mei[5])</f>
        <v>0</v>
      </c>
      <c r="H12" s="13">
        <f>SUBTOTAL(103,Mei[6])</f>
        <v>0</v>
      </c>
      <c r="I12" s="13">
        <f>SUBTOTAL(103,Mei[7])</f>
        <v>0</v>
      </c>
      <c r="J12" s="13">
        <f>SUBTOTAL(103,Mei[8])</f>
        <v>0</v>
      </c>
      <c r="K12" s="13">
        <f>SUBTOTAL(103,Mei[9])</f>
        <v>0</v>
      </c>
      <c r="L12" s="13">
        <f>SUBTOTAL(103,Mei[10])</f>
        <v>0</v>
      </c>
      <c r="M12" s="13">
        <f>SUBTOTAL(103,Mei[11])</f>
        <v>0</v>
      </c>
      <c r="N12" s="13">
        <f>SUBTOTAL(103,Mei[12])</f>
        <v>0</v>
      </c>
      <c r="O12" s="13">
        <f>SUBTOTAL(103,Mei[13])</f>
        <v>0</v>
      </c>
      <c r="P12" s="13">
        <f>SUBTOTAL(103,Mei[14])</f>
        <v>0</v>
      </c>
      <c r="Q12" s="13">
        <f>SUBTOTAL(103,Mei[15])</f>
        <v>0</v>
      </c>
      <c r="R12" s="13">
        <f>SUBTOTAL(103,Mei[16])</f>
        <v>0</v>
      </c>
      <c r="S12" s="13">
        <f>SUBTOTAL(103,Mei[17])</f>
        <v>0</v>
      </c>
      <c r="T12" s="13">
        <f>SUBTOTAL(103,Mei[18])</f>
        <v>0</v>
      </c>
      <c r="U12" s="13">
        <f>SUBTOTAL(103,Mei[19])</f>
        <v>0</v>
      </c>
      <c r="V12" s="13">
        <f>SUBTOTAL(103,Mei[20])</f>
        <v>0</v>
      </c>
      <c r="W12" s="13">
        <f>SUBTOTAL(103,Mei[21])</f>
        <v>0</v>
      </c>
      <c r="X12" s="13">
        <f>SUBTOTAL(103,Mei[22])</f>
        <v>0</v>
      </c>
      <c r="Y12" s="13">
        <f>SUBTOTAL(103,Mei[23])</f>
        <v>0</v>
      </c>
      <c r="Z12" s="13">
        <f>SUBTOTAL(103,Mei[24])</f>
        <v>0</v>
      </c>
      <c r="AA12" s="13">
        <f>SUBTOTAL(103,Mei[25])</f>
        <v>0</v>
      </c>
      <c r="AB12" s="13">
        <f>SUBTOTAL(103,Mei[26])</f>
        <v>0</v>
      </c>
      <c r="AC12" s="13">
        <f>SUBTOTAL(103,Mei[27])</f>
        <v>0</v>
      </c>
      <c r="AD12" s="13">
        <f>SUBTOTAL(103,Mei[28])</f>
        <v>0</v>
      </c>
      <c r="AE12" s="13">
        <f>SUBTOTAL(103,Mei[29])</f>
        <v>0</v>
      </c>
      <c r="AF12" s="13">
        <f>SUBTOTAL(109,Mei[[30 ]])</f>
        <v>0</v>
      </c>
      <c r="AG12" s="13">
        <f>SUBTOTAL(109,Mei[31])</f>
        <v>0</v>
      </c>
      <c r="AH12" s="13">
        <f>SUBTOTAL(109,Mei[Total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591" priority="2" stopIfTrue="1">
      <formula>C7=KustomKunci2</formula>
    </cfRule>
    <cfRule type="expression" dxfId="590" priority="3" stopIfTrue="1">
      <formula>C7=Kustomkunci1</formula>
    </cfRule>
    <cfRule type="expression" dxfId="589" priority="4" stopIfTrue="1">
      <formula>C7=SakitKunci</formula>
    </cfRule>
    <cfRule type="expression" dxfId="588" priority="5" stopIfTrue="1">
      <formula>C7=PribadiKunci</formula>
    </cfRule>
    <cfRule type="expression" dxfId="587"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{5670947F-8B3C-4A6C-A280-4F5E10811DCE}</x14:id>
        </ext>
      </extLst>
    </cfRule>
  </conditionalFormatting>
  <dataValidations count="14">
    <dataValidation allowBlank="1" showInputMessage="1" showErrorMessage="1" prompt="Hari-hari dalam sebulan di baris ini dihasilkan secara otomatis. Masukkan jenis absen dan absen karyawan di setiap kolom untuk setiap hari dalam sebulan. Kosong berarti tidak ada absen" sqref="C6"/>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Masukkan label untuk mendeskripsikan kunci kustom di sebelah kiri" sqref="O2:Q2 S2:U2"/>
    <dataValidation allowBlank="1" showInputMessage="1" showErrorMessage="1" prompt="Masukkan huruf dan sesuaikan label di sebelah kanan untuk menambahkan item kunci lain" sqref="N2 R2"/>
    <dataValidation allowBlank="1" showInputMessage="1" showErrorMessage="1" prompt="Huruf &quot;S&quot; menunjukkan absen karena sakit" sqref="K2"/>
    <dataValidation allowBlank="1" showInputMessage="1" showErrorMessage="1" prompt="Huruf &quot;P&quot; menunjukkan absen karena alasan pribadi" sqref="G2"/>
    <dataValidation allowBlank="1" showInputMessage="1" showErrorMessage="1" prompt="Huruf &quot;L&quot; menunjukkan absen karena liburan" sqref="C2"/>
    <dataValidation allowBlank="1" showInputMessage="1" showErrorMessage="1" prompt="Judul yang diperbarui secara otomatis ada di sel ini. Untuk mengubah judul, perbarui B1 di lembar kerja Januari" sqref="B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Lacak absen bulan Mei di lembar kerja ini" sqref="A1"/>
    <dataValidation allowBlank="1" showInputMessage="1" showErrorMessage="1" prompt="Otomatis menghitung total jumlah hari karyawan absen bulan ini di kolom ini" sqref="AH6"/>
    <dataValidation allowBlank="1" showInputMessage="1" showErrorMessage="1" prompt="Tahun yang otomatis diperbarui berdasarkan tahun yang dimasukkan dalam lembar kerja Januari" sqref="AH4"/>
    <dataValidation allowBlank="1" showInputMessage="1" showErrorMessage="1" prompt="Hari kerja di baris ini diperbarui secara otomatis untuk bulan terkait sesuai dengan tahun di AH4. Setiap hari dalam sebulan adalah kolom untuk mencatat jenis absen dan absen karyawan" sqref="C5"/>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5670947F-8B3C-4A6C-A280-4F5E10811DCE}">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2"/>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57</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TEXT(WEEKDAY(DATE(TahunKalender,6,1),1),"aaa")</f>
        <v>Rab</v>
      </c>
      <c r="D5" s="2" t="str">
        <f>TEXT(WEEKDAY(DATE(TahunKalender,6,2),1),"aaa")</f>
        <v>Kam</v>
      </c>
      <c r="E5" s="2" t="str">
        <f>TEXT(WEEKDAY(DATE(TahunKalender,6,3),1),"aaa")</f>
        <v>Jum</v>
      </c>
      <c r="F5" s="2" t="str">
        <f>TEXT(WEEKDAY(DATE(TahunKalender,6,4),1),"aaa")</f>
        <v>Sab</v>
      </c>
      <c r="G5" s="2" t="str">
        <f>TEXT(WEEKDAY(DATE(TahunKalender,6,5),1),"aaa")</f>
        <v>Mgg</v>
      </c>
      <c r="H5" s="2" t="str">
        <f>TEXT(WEEKDAY(DATE(TahunKalender,6,6),1),"aaa")</f>
        <v>Sen</v>
      </c>
      <c r="I5" s="2" t="str">
        <f>TEXT(WEEKDAY(DATE(TahunKalender,6,7),1),"aaa")</f>
        <v>Sel</v>
      </c>
      <c r="J5" s="2" t="str">
        <f>TEXT(WEEKDAY(DATE(TahunKalender,6,8),1),"aaa")</f>
        <v>Rab</v>
      </c>
      <c r="K5" s="2" t="str">
        <f>TEXT(WEEKDAY(DATE(TahunKalender,6,9),1),"aaa")</f>
        <v>Kam</v>
      </c>
      <c r="L5" s="2" t="str">
        <f>TEXT(WEEKDAY(DATE(TahunKalender,6,10),1),"aaa")</f>
        <v>Jum</v>
      </c>
      <c r="M5" s="2" t="str">
        <f>TEXT(WEEKDAY(DATE(TahunKalender,6,11),1),"aaa")</f>
        <v>Sab</v>
      </c>
      <c r="N5" s="2" t="str">
        <f>TEXT(WEEKDAY(DATE(TahunKalender,6,12),1),"aaa")</f>
        <v>Mgg</v>
      </c>
      <c r="O5" s="2" t="str">
        <f>TEXT(WEEKDAY(DATE(TahunKalender,6,13),1),"aaa")</f>
        <v>Sen</v>
      </c>
      <c r="P5" s="2" t="str">
        <f>TEXT(WEEKDAY(DATE(TahunKalender,6,14),1),"aaa")</f>
        <v>Sel</v>
      </c>
      <c r="Q5" s="2" t="str">
        <f>TEXT(WEEKDAY(DATE(TahunKalender,6,15),1),"aaa")</f>
        <v>Rab</v>
      </c>
      <c r="R5" s="2" t="str">
        <f>TEXT(WEEKDAY(DATE(TahunKalender,6,16),1),"aaa")</f>
        <v>Kam</v>
      </c>
      <c r="S5" s="2" t="str">
        <f>TEXT(WEEKDAY(DATE(TahunKalender,6,17),1),"aaa")</f>
        <v>Jum</v>
      </c>
      <c r="T5" s="2" t="str">
        <f>TEXT(WEEKDAY(DATE(TahunKalender,6,18),1),"aaa")</f>
        <v>Sab</v>
      </c>
      <c r="U5" s="2" t="str">
        <f>TEXT(WEEKDAY(DATE(TahunKalender,6,19),1),"aaa")</f>
        <v>Mgg</v>
      </c>
      <c r="V5" s="2" t="str">
        <f>TEXT(WEEKDAY(DATE(TahunKalender,6,20),1),"aaa")</f>
        <v>Sen</v>
      </c>
      <c r="W5" s="2" t="str">
        <f>TEXT(WEEKDAY(DATE(TahunKalender,6,21),1),"aaa")</f>
        <v>Sel</v>
      </c>
      <c r="X5" s="2" t="str">
        <f>TEXT(WEEKDAY(DATE(TahunKalender,6,22),1),"aaa")</f>
        <v>Rab</v>
      </c>
      <c r="Y5" s="2" t="str">
        <f>TEXT(WEEKDAY(DATE(TahunKalender,6,23),1),"aaa")</f>
        <v>Kam</v>
      </c>
      <c r="Z5" s="2" t="str">
        <f>TEXT(WEEKDAY(DATE(TahunKalender,6,24),1),"aaa")</f>
        <v>Jum</v>
      </c>
      <c r="AA5" s="2" t="str">
        <f>TEXT(WEEKDAY(DATE(TahunKalender,6,25),1),"aaa")</f>
        <v>Sab</v>
      </c>
      <c r="AB5" s="2" t="str">
        <f>TEXT(WEEKDAY(DATE(TahunKalender,6,26),1),"aaa")</f>
        <v>Mgg</v>
      </c>
      <c r="AC5" s="2" t="str">
        <f>TEXT(WEEKDAY(DATE(TahunKalender,6,27),1),"aaa")</f>
        <v>Sen</v>
      </c>
      <c r="AD5" s="2" t="str">
        <f>TEXT(WEEKDAY(DATE(TahunKalender,6,28),1),"aaa")</f>
        <v>Sel</v>
      </c>
      <c r="AE5" s="2" t="str">
        <f>TEXT(WEEKDAY(DATE(TahunKalender,6,29),1),"aaa")</f>
        <v>Rab</v>
      </c>
      <c r="AF5" s="2" t="str">
        <f>TEXT(WEEKDAY(DATE(TahunKalender,6,30),1),"aaa")</f>
        <v>Kam</v>
      </c>
      <c r="AG5" s="2"/>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COUNTA(Juni[[#This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COUNTA(Juni[[#This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COUNTA(Juni[[#This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COUNTA(Juni[[#This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COUNTA(Juni[[#This Row],[1]:[31]])</f>
        <v>0</v>
      </c>
    </row>
    <row r="12" spans="2:34" ht="30" customHeight="1" x14ac:dyDescent="0.25">
      <c r="B12" s="21" t="str">
        <f>NamaBulan&amp;" Total"</f>
        <v>Juni Total</v>
      </c>
      <c r="C12" s="13">
        <f>SUBTOTAL(103,Juni[1])</f>
        <v>0</v>
      </c>
      <c r="D12" s="13">
        <f>SUBTOTAL(103,Juni[2])</f>
        <v>0</v>
      </c>
      <c r="E12" s="13">
        <f>SUBTOTAL(103,Juni[3])</f>
        <v>0</v>
      </c>
      <c r="F12" s="13">
        <f>SUBTOTAL(103,Juni[4])</f>
        <v>0</v>
      </c>
      <c r="G12" s="13">
        <f>SUBTOTAL(103,Juni[5])</f>
        <v>0</v>
      </c>
      <c r="H12" s="13">
        <f>SUBTOTAL(103,Juni[6])</f>
        <v>0</v>
      </c>
      <c r="I12" s="13">
        <f>SUBTOTAL(103,Juni[7])</f>
        <v>0</v>
      </c>
      <c r="J12" s="13">
        <f>SUBTOTAL(103,Juni[8])</f>
        <v>0</v>
      </c>
      <c r="K12" s="13">
        <f>SUBTOTAL(103,Juni[9])</f>
        <v>0</v>
      </c>
      <c r="L12" s="13">
        <f>SUBTOTAL(103,Juni[10])</f>
        <v>0</v>
      </c>
      <c r="M12" s="13">
        <f>SUBTOTAL(103,Juni[11])</f>
        <v>0</v>
      </c>
      <c r="N12" s="13">
        <f>SUBTOTAL(103,Juni[12])</f>
        <v>0</v>
      </c>
      <c r="O12" s="13">
        <f>SUBTOTAL(103,Juni[13])</f>
        <v>0</v>
      </c>
      <c r="P12" s="13">
        <f>SUBTOTAL(103,Juni[14])</f>
        <v>0</v>
      </c>
      <c r="Q12" s="13">
        <f>SUBTOTAL(103,Juni[15])</f>
        <v>0</v>
      </c>
      <c r="R12" s="13">
        <f>SUBTOTAL(103,Juni[16])</f>
        <v>0</v>
      </c>
      <c r="S12" s="13">
        <f>SUBTOTAL(103,Juni[17])</f>
        <v>0</v>
      </c>
      <c r="T12" s="13">
        <f>SUBTOTAL(103,Juni[18])</f>
        <v>0</v>
      </c>
      <c r="U12" s="13">
        <f>SUBTOTAL(103,Juni[19])</f>
        <v>0</v>
      </c>
      <c r="V12" s="13">
        <f>SUBTOTAL(103,Juni[20])</f>
        <v>0</v>
      </c>
      <c r="W12" s="13">
        <f>SUBTOTAL(103,Juni[21])</f>
        <v>0</v>
      </c>
      <c r="X12" s="13">
        <f>SUBTOTAL(103,Juni[22])</f>
        <v>0</v>
      </c>
      <c r="Y12" s="13">
        <f>SUBTOTAL(103,Juni[23])</f>
        <v>0</v>
      </c>
      <c r="Z12" s="13">
        <f>SUBTOTAL(103,Juni[24])</f>
        <v>0</v>
      </c>
      <c r="AA12" s="13">
        <f>SUBTOTAL(103,Juni[25])</f>
        <v>0</v>
      </c>
      <c r="AB12" s="13">
        <f>SUBTOTAL(103,Juni[26])</f>
        <v>0</v>
      </c>
      <c r="AC12" s="13">
        <f>SUBTOTAL(103,Juni[27])</f>
        <v>0</v>
      </c>
      <c r="AD12" s="13">
        <f>SUBTOTAL(103,Juni[28])</f>
        <v>0</v>
      </c>
      <c r="AE12" s="13">
        <f>SUBTOTAL(103,Juni[29])</f>
        <v>0</v>
      </c>
      <c r="AF12" s="13">
        <f>SUBTOTAL(109,Juni[[30 ]])</f>
        <v>0</v>
      </c>
      <c r="AG12" s="13">
        <f>SUBTOTAL(109,Juni[31])</f>
        <v>0</v>
      </c>
      <c r="AH12" s="13">
        <f>SUBTOTAL(109,Juni[Total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517" priority="2" stopIfTrue="1">
      <formula>C7=KustomKunci2</formula>
    </cfRule>
    <cfRule type="expression" dxfId="516" priority="3" stopIfTrue="1">
      <formula>C7=Kustomkunci1</formula>
    </cfRule>
    <cfRule type="expression" dxfId="515" priority="4" stopIfTrue="1">
      <formula>C7=SakitKunci</formula>
    </cfRule>
    <cfRule type="expression" dxfId="514" priority="5" stopIfTrue="1">
      <formula>C7=PribadiKunci</formula>
    </cfRule>
    <cfRule type="expression" dxfId="513"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{5E94D469-7B22-408B-924D-8DC8A136AD3B}</x14:id>
        </ext>
      </extLst>
    </cfRule>
  </conditionalFormatting>
  <dataValidations count="14">
    <dataValidation allowBlank="1" showInputMessage="1" showErrorMessage="1" prompt="Hari kerja di baris ini diperbarui secara otomatis untuk bulan terkait sesuai dengan tahun di AH4. Setiap hari dalam sebulan adalah kolom untuk mencatat jenis absen dan absen karyawan" sqref="C5"/>
    <dataValidation allowBlank="1" showInputMessage="1" showErrorMessage="1" prompt="Tahun yang otomatis diperbarui berdasarkan tahun yang dimasukkan dalam lembar kerja Januari" sqref="AH4"/>
    <dataValidation allowBlank="1" showInputMessage="1" showErrorMessage="1" prompt="Otomatis menghitung total jumlah hari karyawan absen bulan ini di kolom ini" sqref="AH6"/>
    <dataValidation allowBlank="1" showInputMessage="1" showErrorMessage="1" prompt="Lacak absen bulan Juni di lembar kerja ini" sqref="A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Judul yang diperbarui secara otomatis ada di sel ini. Untuk mengubah judul, perbarui B1 di lembar kerja Januari" sqref="B1"/>
    <dataValidation allowBlank="1" showInputMessage="1" showErrorMessage="1" prompt="Huruf &quot;L&quot; menunjukkan absen karena liburan" sqref="C2"/>
    <dataValidation allowBlank="1" showInputMessage="1" showErrorMessage="1" prompt="Huruf &quot;P&quot; menunjukkan absen karena alasan pribadi" sqref="G2"/>
    <dataValidation allowBlank="1" showInputMessage="1" showErrorMessage="1" prompt="Huruf &quot;S&quot; menunjukkan absen karena sakit" sqref="K2"/>
    <dataValidation allowBlank="1" showInputMessage="1" showErrorMessage="1" prompt="Masukkan huruf dan sesuaikan label di sebelah kanan untuk menambahkan item kunci lain" sqref="N2 R2"/>
    <dataValidation allowBlank="1" showInputMessage="1" showErrorMessage="1" prompt="Masukkan label untuk mendeskripsikan kunci kustom di sebelah kiri" sqref="O2:Q2 S2:U2"/>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Hari-hari dalam sebulan di baris ini dihasilkan secara otomatis. Masukkan jenis absen dan absen karyawan di setiap kolom untuk setiap hari dalam sebulan. Kosong berarti tidak ada absen" sqref="C6"/>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5E94D469-7B22-408B-924D-8DC8A136AD3B}">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58</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TEXT(WEEKDAY(DATE(TahunKalender,7,1),1),"aaa")</f>
        <v>Jum</v>
      </c>
      <c r="D5" s="2" t="str">
        <f>TEXT(WEEKDAY(DATE(TahunKalender,7,2),1),"aaa")</f>
        <v>Sab</v>
      </c>
      <c r="E5" s="2" t="str">
        <f>TEXT(WEEKDAY(DATE(TahunKalender,7,3),1),"aaa")</f>
        <v>Mgg</v>
      </c>
      <c r="F5" s="2" t="str">
        <f>TEXT(WEEKDAY(DATE(TahunKalender,7,4),1),"aaa")</f>
        <v>Sen</v>
      </c>
      <c r="G5" s="2" t="str">
        <f>TEXT(WEEKDAY(DATE(TahunKalender,7,5),1),"aaa")</f>
        <v>Sel</v>
      </c>
      <c r="H5" s="2" t="str">
        <f>TEXT(WEEKDAY(DATE(TahunKalender,7,6),1),"aaa")</f>
        <v>Rab</v>
      </c>
      <c r="I5" s="2" t="str">
        <f>TEXT(WEEKDAY(DATE(TahunKalender,7,7),1),"aaa")</f>
        <v>Kam</v>
      </c>
      <c r="J5" s="2" t="str">
        <f>TEXT(WEEKDAY(DATE(TahunKalender,7,8),1),"aaa")</f>
        <v>Jum</v>
      </c>
      <c r="K5" s="2" t="str">
        <f>TEXT(WEEKDAY(DATE(TahunKalender,7,9),1),"aaa")</f>
        <v>Sab</v>
      </c>
      <c r="L5" s="2" t="str">
        <f>TEXT(WEEKDAY(DATE(TahunKalender,7,10),1),"aaa")</f>
        <v>Mgg</v>
      </c>
      <c r="M5" s="2" t="str">
        <f>TEXT(WEEKDAY(DATE(TahunKalender,7,11),1),"aaa")</f>
        <v>Sen</v>
      </c>
      <c r="N5" s="2" t="str">
        <f>TEXT(WEEKDAY(DATE(TahunKalender,7,12),1),"aaa")</f>
        <v>Sel</v>
      </c>
      <c r="O5" s="2" t="str">
        <f>TEXT(WEEKDAY(DATE(TahunKalender,7,13),1),"aaa")</f>
        <v>Rab</v>
      </c>
      <c r="P5" s="2" t="str">
        <f>TEXT(WEEKDAY(DATE(TahunKalender,7,14),1),"aaa")</f>
        <v>Kam</v>
      </c>
      <c r="Q5" s="2" t="str">
        <f>TEXT(WEEKDAY(DATE(TahunKalender,7,15),1),"aaa")</f>
        <v>Jum</v>
      </c>
      <c r="R5" s="2" t="str">
        <f>TEXT(WEEKDAY(DATE(TahunKalender,7,16),1),"aaa")</f>
        <v>Sab</v>
      </c>
      <c r="S5" s="2" t="str">
        <f>TEXT(WEEKDAY(DATE(TahunKalender,7,17),1),"aaa")</f>
        <v>Mgg</v>
      </c>
      <c r="T5" s="2" t="str">
        <f>TEXT(WEEKDAY(DATE(TahunKalender,7,18),1),"aaa")</f>
        <v>Sen</v>
      </c>
      <c r="U5" s="2" t="str">
        <f>TEXT(WEEKDAY(DATE(TahunKalender,7,19),1),"aaa")</f>
        <v>Sel</v>
      </c>
      <c r="V5" s="2" t="str">
        <f>TEXT(WEEKDAY(DATE(TahunKalender,7,20),1),"aaa")</f>
        <v>Rab</v>
      </c>
      <c r="W5" s="2" t="str">
        <f>TEXT(WEEKDAY(DATE(TahunKalender,7,21),1),"aaa")</f>
        <v>Kam</v>
      </c>
      <c r="X5" s="2" t="str">
        <f>TEXT(WEEKDAY(DATE(TahunKalender,7,22),1),"aaa")</f>
        <v>Jum</v>
      </c>
      <c r="Y5" s="2" t="str">
        <f>TEXT(WEEKDAY(DATE(TahunKalender,7,23),1),"aaa")</f>
        <v>Sab</v>
      </c>
      <c r="Z5" s="2" t="str">
        <f>TEXT(WEEKDAY(DATE(TahunKalender,7,24),1),"aaa")</f>
        <v>Mgg</v>
      </c>
      <c r="AA5" s="2" t="str">
        <f>TEXT(WEEKDAY(DATE(TahunKalender,7,25),1),"aaa")</f>
        <v>Sen</v>
      </c>
      <c r="AB5" s="2" t="str">
        <f>TEXT(WEEKDAY(DATE(TahunKalender,7,26),1),"aaa")</f>
        <v>Sel</v>
      </c>
      <c r="AC5" s="2" t="str">
        <f>TEXT(WEEKDAY(DATE(TahunKalender,7,27),1),"aaa")</f>
        <v>Rab</v>
      </c>
      <c r="AD5" s="2" t="str">
        <f>TEXT(WEEKDAY(DATE(TahunKalender,7,28),1),"aaa")</f>
        <v>Kam</v>
      </c>
      <c r="AE5" s="2" t="str">
        <f>TEXT(WEEKDAY(DATE(TahunKalender,7,29),1),"aaa")</f>
        <v>Jum</v>
      </c>
      <c r="AF5" s="2" t="str">
        <f>TEXT(WEEKDAY(DATE(TahunKalender,7,30),1),"aaa")</f>
        <v>Sab</v>
      </c>
      <c r="AG5" s="2" t="str">
        <f>TEXT(WEEKDAY(DATE(TahunKalender,7,31),1),"aaa")</f>
        <v>Mgg</v>
      </c>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COUNTA(Juli[[#This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COUNTA(Juli[[#This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COUNTA(Juli[[#This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COUNTA(Juli[[#This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COUNTA(Juli[[#This Row],[1]:[31]])</f>
        <v>0</v>
      </c>
    </row>
    <row r="12" spans="2:34" ht="30" customHeight="1" x14ac:dyDescent="0.25">
      <c r="B12" s="21" t="str">
        <f>NamaBulan&amp;" Total"</f>
        <v>Juli Total</v>
      </c>
      <c r="C12" s="13">
        <f>SUBTOTAL(103,Juli[1])</f>
        <v>0</v>
      </c>
      <c r="D12" s="13">
        <f>SUBTOTAL(103,Juli[2])</f>
        <v>0</v>
      </c>
      <c r="E12" s="13">
        <f>SUBTOTAL(103,Juli[3])</f>
        <v>0</v>
      </c>
      <c r="F12" s="13">
        <f>SUBTOTAL(103,Juli[4])</f>
        <v>0</v>
      </c>
      <c r="G12" s="13">
        <f>SUBTOTAL(103,Juli[5])</f>
        <v>0</v>
      </c>
      <c r="H12" s="13">
        <f>SUBTOTAL(103,Juli[6])</f>
        <v>0</v>
      </c>
      <c r="I12" s="13">
        <f>SUBTOTAL(103,Juli[7])</f>
        <v>0</v>
      </c>
      <c r="J12" s="13">
        <f>SUBTOTAL(103,Juli[8])</f>
        <v>0</v>
      </c>
      <c r="K12" s="13">
        <f>SUBTOTAL(103,Juli[9])</f>
        <v>0</v>
      </c>
      <c r="L12" s="13">
        <f>SUBTOTAL(103,Juli[10])</f>
        <v>0</v>
      </c>
      <c r="M12" s="13">
        <f>SUBTOTAL(103,Juli[11])</f>
        <v>0</v>
      </c>
      <c r="N12" s="13">
        <f>SUBTOTAL(103,Juli[12])</f>
        <v>0</v>
      </c>
      <c r="O12" s="13">
        <f>SUBTOTAL(103,Juli[13])</f>
        <v>0</v>
      </c>
      <c r="P12" s="13">
        <f>SUBTOTAL(103,Juli[14])</f>
        <v>0</v>
      </c>
      <c r="Q12" s="13">
        <f>SUBTOTAL(103,Juli[15])</f>
        <v>0</v>
      </c>
      <c r="R12" s="13">
        <f>SUBTOTAL(103,Juli[16])</f>
        <v>0</v>
      </c>
      <c r="S12" s="13">
        <f>SUBTOTAL(103,Juli[17])</f>
        <v>0</v>
      </c>
      <c r="T12" s="13">
        <f>SUBTOTAL(103,Juli[18])</f>
        <v>0</v>
      </c>
      <c r="U12" s="13">
        <f>SUBTOTAL(103,Juli[19])</f>
        <v>0</v>
      </c>
      <c r="V12" s="13">
        <f>SUBTOTAL(103,Juli[20])</f>
        <v>0</v>
      </c>
      <c r="W12" s="13">
        <f>SUBTOTAL(103,Juli[21])</f>
        <v>0</v>
      </c>
      <c r="X12" s="13">
        <f>SUBTOTAL(103,Juli[22])</f>
        <v>0</v>
      </c>
      <c r="Y12" s="13">
        <f>SUBTOTAL(103,Juli[23])</f>
        <v>0</v>
      </c>
      <c r="Z12" s="13">
        <f>SUBTOTAL(103,Juli[24])</f>
        <v>0</v>
      </c>
      <c r="AA12" s="13">
        <f>SUBTOTAL(103,Juli[25])</f>
        <v>0</v>
      </c>
      <c r="AB12" s="13">
        <f>SUBTOTAL(103,Juli[26])</f>
        <v>0</v>
      </c>
      <c r="AC12" s="13">
        <f>SUBTOTAL(103,Juli[27])</f>
        <v>0</v>
      </c>
      <c r="AD12" s="13">
        <f>SUBTOTAL(103,Juli[28])</f>
        <v>0</v>
      </c>
      <c r="AE12" s="13">
        <f>SUBTOTAL(103,Juli[29])</f>
        <v>0</v>
      </c>
      <c r="AF12" s="13">
        <f>SUBTOTAL(109,Juli[[30 ]])</f>
        <v>0</v>
      </c>
      <c r="AG12" s="13">
        <f>SUBTOTAL(109,Juli[31])</f>
        <v>0</v>
      </c>
      <c r="AH12" s="13">
        <f>SUBTOTAL(109,Juli[Total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443" priority="2" stopIfTrue="1">
      <formula>C7=KustomKunci2</formula>
    </cfRule>
    <cfRule type="expression" dxfId="442" priority="3" stopIfTrue="1">
      <formula>C7=Kustomkunci1</formula>
    </cfRule>
    <cfRule type="expression" dxfId="441" priority="4" stopIfTrue="1">
      <formula>C7=SakitKunci</formula>
    </cfRule>
    <cfRule type="expression" dxfId="440" priority="5" stopIfTrue="1">
      <formula>C7=PribadiKunci</formula>
    </cfRule>
    <cfRule type="expression" dxfId="439"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{E0DCF129-9B2A-4CEB-9E56-27607F4BED20}</x14:id>
        </ext>
      </extLst>
    </cfRule>
  </conditionalFormatting>
  <dataValidations count="14">
    <dataValidation allowBlank="1" showInputMessage="1" showErrorMessage="1" prompt="Hari-hari dalam sebulan di baris ini dihasilkan secara otomatis. Masukkan jenis absen dan absen karyawan di setiap kolom untuk setiap hari dalam sebulan. Kosong berarti tidak ada absen" sqref="C6"/>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Masukkan label untuk mendeskripsikan kunci kustom di sebelah kiri" sqref="O2:Q2 S2:U2"/>
    <dataValidation allowBlank="1" showInputMessage="1" showErrorMessage="1" prompt="Masukkan huruf dan sesuaikan label di sebelah kanan untuk menambahkan item kunci lain" sqref="N2 R2"/>
    <dataValidation allowBlank="1" showInputMessage="1" showErrorMessage="1" prompt="Huruf &quot;S&quot; menunjukkan absen karena sakit" sqref="K2"/>
    <dataValidation allowBlank="1" showInputMessage="1" showErrorMessage="1" prompt="Huruf &quot;P&quot; menunjukkan absen karena alasan pribadi" sqref="G2"/>
    <dataValidation allowBlank="1" showInputMessage="1" showErrorMessage="1" prompt="Huruf &quot;L&quot; menunjukkan absen karena liburan" sqref="C2"/>
    <dataValidation allowBlank="1" showInputMessage="1" showErrorMessage="1" prompt="Judul yang diperbarui secara otomatis ada di sel ini. Untuk mengubah judul, perbarui B1 di lembar kerja Januari" sqref="B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Lacak absen bulan Juli di lembar kerja ini" sqref="A1"/>
    <dataValidation allowBlank="1" showInputMessage="1" showErrorMessage="1" prompt="Otomatis menghitung total jumlah hari karyawan absen bulan ini di kolom ini" sqref="AH6"/>
    <dataValidation allowBlank="1" showInputMessage="1" showErrorMessage="1" prompt="Tahun yang otomatis diperbarui berdasarkan tahun yang dimasukkan dalam lembar kerja Januari" sqref="AH4"/>
    <dataValidation allowBlank="1" showInputMessage="1" showErrorMessage="1" prompt="Hari kerja di baris ini diperbarui secara otomatis untuk bulan terkait sesuai dengan tahun di AH4. Setiap hari dalam sebulan adalah kolom untuk mencatat jenis absen dan absen karyawan" sqref="C5"/>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E0DCF129-9B2A-4CEB-9E56-27607F4BED20}">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2" tint="-0.749992370372631"/>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59</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TEXT(WEEKDAY(DATE(TahunKalender,8,1),1),"aaa")</f>
        <v>Sen</v>
      </c>
      <c r="D5" s="2" t="str">
        <f>TEXT(WEEKDAY(DATE(TahunKalender,8,2),1),"aaa")</f>
        <v>Sel</v>
      </c>
      <c r="E5" s="2" t="str">
        <f>TEXT(WEEKDAY(DATE(TahunKalender,8,3),1),"aaa")</f>
        <v>Rab</v>
      </c>
      <c r="F5" s="2" t="str">
        <f>TEXT(WEEKDAY(DATE(TahunKalender,8,4),1),"aaa")</f>
        <v>Kam</v>
      </c>
      <c r="G5" s="2" t="str">
        <f>TEXT(WEEKDAY(DATE(TahunKalender,8,5),1),"aaa")</f>
        <v>Jum</v>
      </c>
      <c r="H5" s="2" t="str">
        <f>TEXT(WEEKDAY(DATE(TahunKalender,8,6),1),"aaa")</f>
        <v>Sab</v>
      </c>
      <c r="I5" s="2" t="str">
        <f>TEXT(WEEKDAY(DATE(TahunKalender,8,7),1),"aaa")</f>
        <v>Mgg</v>
      </c>
      <c r="J5" s="2" t="str">
        <f>TEXT(WEEKDAY(DATE(TahunKalender,8,8),1),"aaa")</f>
        <v>Sen</v>
      </c>
      <c r="K5" s="2" t="str">
        <f>TEXT(WEEKDAY(DATE(TahunKalender,8,9),1),"aaa")</f>
        <v>Sel</v>
      </c>
      <c r="L5" s="2" t="str">
        <f>TEXT(WEEKDAY(DATE(TahunKalender,8,10),1),"aaa")</f>
        <v>Rab</v>
      </c>
      <c r="M5" s="2" t="str">
        <f>TEXT(WEEKDAY(DATE(TahunKalender,8,11),1),"aaa")</f>
        <v>Kam</v>
      </c>
      <c r="N5" s="2" t="str">
        <f>TEXT(WEEKDAY(DATE(TahunKalender,8,12),1),"aaa")</f>
        <v>Jum</v>
      </c>
      <c r="O5" s="2" t="str">
        <f>TEXT(WEEKDAY(DATE(TahunKalender,8,13),1),"aaa")</f>
        <v>Sab</v>
      </c>
      <c r="P5" s="2" t="str">
        <f>TEXT(WEEKDAY(DATE(TahunKalender,8,14),1),"aaa")</f>
        <v>Mgg</v>
      </c>
      <c r="Q5" s="2" t="str">
        <f>TEXT(WEEKDAY(DATE(TahunKalender,8,15),1),"aaa")</f>
        <v>Sen</v>
      </c>
      <c r="R5" s="2" t="str">
        <f>TEXT(WEEKDAY(DATE(TahunKalender,8,16),1),"aaa")</f>
        <v>Sel</v>
      </c>
      <c r="S5" s="2" t="str">
        <f>TEXT(WEEKDAY(DATE(TahunKalender,8,17),1),"aaa")</f>
        <v>Rab</v>
      </c>
      <c r="T5" s="2" t="str">
        <f>TEXT(WEEKDAY(DATE(TahunKalender,8,18),1),"aaa")</f>
        <v>Kam</v>
      </c>
      <c r="U5" s="2" t="str">
        <f>TEXT(WEEKDAY(DATE(TahunKalender,8,19),1),"aaa")</f>
        <v>Jum</v>
      </c>
      <c r="V5" s="2" t="str">
        <f>TEXT(WEEKDAY(DATE(TahunKalender,8,20),1),"aaa")</f>
        <v>Sab</v>
      </c>
      <c r="W5" s="2" t="str">
        <f>TEXT(WEEKDAY(DATE(TahunKalender,8,21),1),"aaa")</f>
        <v>Mgg</v>
      </c>
      <c r="X5" s="2" t="str">
        <f>TEXT(WEEKDAY(DATE(TahunKalender,8,22),1),"aaa")</f>
        <v>Sen</v>
      </c>
      <c r="Y5" s="2" t="str">
        <f>TEXT(WEEKDAY(DATE(TahunKalender,8,23),1),"aaa")</f>
        <v>Sel</v>
      </c>
      <c r="Z5" s="2" t="str">
        <f>TEXT(WEEKDAY(DATE(TahunKalender,8,24),1),"aaa")</f>
        <v>Rab</v>
      </c>
      <c r="AA5" s="2" t="str">
        <f>TEXT(WEEKDAY(DATE(TahunKalender,8,25),1),"aaa")</f>
        <v>Kam</v>
      </c>
      <c r="AB5" s="2" t="str">
        <f>TEXT(WEEKDAY(DATE(TahunKalender,8,26),1),"aaa")</f>
        <v>Jum</v>
      </c>
      <c r="AC5" s="2" t="str">
        <f>TEXT(WEEKDAY(DATE(TahunKalender,8,27),1),"aaa")</f>
        <v>Sab</v>
      </c>
      <c r="AD5" s="2" t="str">
        <f>TEXT(WEEKDAY(DATE(TahunKalender,8,28),1),"aaa")</f>
        <v>Mgg</v>
      </c>
      <c r="AE5" s="2" t="str">
        <f>TEXT(WEEKDAY(DATE(TahunKalender,8,29),1),"aaa")</f>
        <v>Sen</v>
      </c>
      <c r="AF5" s="2" t="str">
        <f>TEXT(WEEKDAY(DATE(TahunKalender,8,30),1),"aaa")</f>
        <v>Sel</v>
      </c>
      <c r="AG5" s="2" t="str">
        <f>TEXT(WEEKDAY(DATE(TahunKalender,8,31),1),"aaa")</f>
        <v>Rab</v>
      </c>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COUNTA(Agustus[[#This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COUNTA(Agustus[[#This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COUNTA(Agustus[[#This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COUNTA(Agustus[[#This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COUNTA(Agustus[[#This Row],[1]:[31]])</f>
        <v>0</v>
      </c>
    </row>
    <row r="12" spans="2:34" ht="30" customHeight="1" x14ac:dyDescent="0.25">
      <c r="B12" s="21" t="str">
        <f>NamaBulan&amp;" Total"</f>
        <v>Agustus Total</v>
      </c>
      <c r="C12" s="13">
        <f>SUBTOTAL(103,Agustus[1])</f>
        <v>0</v>
      </c>
      <c r="D12" s="13">
        <f>SUBTOTAL(103,Agustus[2])</f>
        <v>0</v>
      </c>
      <c r="E12" s="13">
        <f>SUBTOTAL(103,Agustus[3])</f>
        <v>0</v>
      </c>
      <c r="F12" s="13">
        <f>SUBTOTAL(103,Agustus[4])</f>
        <v>0</v>
      </c>
      <c r="G12" s="13">
        <f>SUBTOTAL(103,Agustus[5])</f>
        <v>0</v>
      </c>
      <c r="H12" s="13">
        <f>SUBTOTAL(103,Agustus[6])</f>
        <v>0</v>
      </c>
      <c r="I12" s="13">
        <f>SUBTOTAL(103,Agustus[7])</f>
        <v>0</v>
      </c>
      <c r="J12" s="13">
        <f>SUBTOTAL(103,Agustus[8])</f>
        <v>0</v>
      </c>
      <c r="K12" s="13">
        <f>SUBTOTAL(103,Agustus[9])</f>
        <v>0</v>
      </c>
      <c r="L12" s="13">
        <f>SUBTOTAL(103,Agustus[10])</f>
        <v>0</v>
      </c>
      <c r="M12" s="13">
        <f>SUBTOTAL(103,Agustus[11])</f>
        <v>0</v>
      </c>
      <c r="N12" s="13">
        <f>SUBTOTAL(103,Agustus[12])</f>
        <v>0</v>
      </c>
      <c r="O12" s="13">
        <f>SUBTOTAL(103,Agustus[13])</f>
        <v>0</v>
      </c>
      <c r="P12" s="13">
        <f>SUBTOTAL(103,Agustus[14])</f>
        <v>0</v>
      </c>
      <c r="Q12" s="13">
        <f>SUBTOTAL(103,Agustus[15])</f>
        <v>0</v>
      </c>
      <c r="R12" s="13">
        <f>SUBTOTAL(103,Agustus[16])</f>
        <v>0</v>
      </c>
      <c r="S12" s="13">
        <f>SUBTOTAL(103,Agustus[17])</f>
        <v>0</v>
      </c>
      <c r="T12" s="13">
        <f>SUBTOTAL(103,Agustus[18])</f>
        <v>0</v>
      </c>
      <c r="U12" s="13">
        <f>SUBTOTAL(103,Agustus[19])</f>
        <v>0</v>
      </c>
      <c r="V12" s="13">
        <f>SUBTOTAL(103,Agustus[20])</f>
        <v>0</v>
      </c>
      <c r="W12" s="13">
        <f>SUBTOTAL(103,Agustus[21])</f>
        <v>0</v>
      </c>
      <c r="X12" s="13">
        <f>SUBTOTAL(103,Agustus[22])</f>
        <v>0</v>
      </c>
      <c r="Y12" s="13">
        <f>SUBTOTAL(103,Agustus[23])</f>
        <v>0</v>
      </c>
      <c r="Z12" s="13">
        <f>SUBTOTAL(103,Agustus[24])</f>
        <v>0</v>
      </c>
      <c r="AA12" s="13">
        <f>SUBTOTAL(103,Agustus[25])</f>
        <v>0</v>
      </c>
      <c r="AB12" s="13">
        <f>SUBTOTAL(103,Agustus[26])</f>
        <v>0</v>
      </c>
      <c r="AC12" s="13">
        <f>SUBTOTAL(103,Agustus[27])</f>
        <v>0</v>
      </c>
      <c r="AD12" s="13">
        <f>SUBTOTAL(103,Agustus[28])</f>
        <v>0</v>
      </c>
      <c r="AE12" s="13">
        <f>SUBTOTAL(103,Agustus[29])</f>
        <v>0</v>
      </c>
      <c r="AF12" s="13">
        <f>SUBTOTAL(109,Agustus[[30 ]])</f>
        <v>0</v>
      </c>
      <c r="AG12" s="13">
        <f>SUBTOTAL(109,Agustus[31])</f>
        <v>0</v>
      </c>
      <c r="AH12" s="13">
        <f>SUBTOTAL(109,Agustus[Total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369" priority="2" stopIfTrue="1">
      <formula>C7=KustomKunci2</formula>
    </cfRule>
    <cfRule type="expression" dxfId="368" priority="3" stopIfTrue="1">
      <formula>C7=Kustomkunci1</formula>
    </cfRule>
    <cfRule type="expression" dxfId="367" priority="4" stopIfTrue="1">
      <formula>C7=SakitKunci</formula>
    </cfRule>
    <cfRule type="expression" dxfId="366" priority="5" stopIfTrue="1">
      <formula>C7=PribadiKunci</formula>
    </cfRule>
    <cfRule type="expression" dxfId="365"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{09900229-9536-43AB-AAE0-FC121BDECD61}</x14:id>
        </ext>
      </extLst>
    </cfRule>
  </conditionalFormatting>
  <dataValidations count="14">
    <dataValidation allowBlank="1" showInputMessage="1" showErrorMessage="1" prompt="Hari kerja di baris ini diperbarui secara otomatis untuk bulan terkait sesuai dengan tahun di AH4. Setiap hari dalam sebulan adalah kolom untuk mencatat jenis absen dan absen karyawan" sqref="C5"/>
    <dataValidation allowBlank="1" showInputMessage="1" showErrorMessage="1" prompt="Tahun yang otomatis diperbarui berdasarkan tahun yang dimasukkan dalam lembar kerja Januari" sqref="AH4"/>
    <dataValidation allowBlank="1" showInputMessage="1" showErrorMessage="1" prompt="Otomatis menghitung total jumlah hari karyawan absen bulan ini di kolom ini" sqref="AH6"/>
    <dataValidation allowBlank="1" showInputMessage="1" showErrorMessage="1" prompt="Lacak absen bulan Agustus di lembar kerja ini" sqref="A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Judul yang diperbarui secara otomatis ada di sel ini. Untuk mengubah judul, perbarui B1 di lembar kerja Januari" sqref="B1"/>
    <dataValidation allowBlank="1" showInputMessage="1" showErrorMessage="1" prompt="Huruf &quot;L&quot; menunjukkan absen karena liburan" sqref="C2"/>
    <dataValidation allowBlank="1" showInputMessage="1" showErrorMessage="1" prompt="Huruf &quot;P&quot; menunjukkan absen karena alasan pribadi" sqref="G2"/>
    <dataValidation allowBlank="1" showInputMessage="1" showErrorMessage="1" prompt="Huruf &quot;S&quot; menunjukkan absen karena sakit" sqref="K2"/>
    <dataValidation allowBlank="1" showInputMessage="1" showErrorMessage="1" prompt="Masukkan huruf dan sesuaikan label di sebelah kanan untuk menambahkan item kunci lain" sqref="N2 R2"/>
    <dataValidation allowBlank="1" showInputMessage="1" showErrorMessage="1" prompt="Masukkan label untuk mendeskripsikan kunci kustom di sebelah kiri" sqref="O2:Q2 S2:U2"/>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Hari-hari dalam sebulan di baris ini dihasilkan secara otomatis. Masukkan jenis absen dan absen karyawan di setiap kolom untuk setiap hari dalam sebulan. Kosong berarti tidak ada absen" sqref="C6"/>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09900229-9536-43AB-AAE0-FC121BDECD61}">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2" tint="-0.499984740745262"/>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60</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TEXT(WEEKDAY(DATE(TahunKalender,9,1),1),"aaa")</f>
        <v>Kam</v>
      </c>
      <c r="D5" s="2" t="str">
        <f>TEXT(WEEKDAY(DATE(TahunKalender,9,2),1),"aaa")</f>
        <v>Jum</v>
      </c>
      <c r="E5" s="2" t="str">
        <f>TEXT(WEEKDAY(DATE(TahunKalender,9,3),1),"aaa")</f>
        <v>Sab</v>
      </c>
      <c r="F5" s="2" t="str">
        <f>TEXT(WEEKDAY(DATE(TahunKalender,9,4),1),"aaa")</f>
        <v>Mgg</v>
      </c>
      <c r="G5" s="2" t="str">
        <f>TEXT(WEEKDAY(DATE(TahunKalender,9,5),1),"aaa")</f>
        <v>Sen</v>
      </c>
      <c r="H5" s="2" t="str">
        <f>TEXT(WEEKDAY(DATE(TahunKalender,9,6),1),"aaa")</f>
        <v>Sel</v>
      </c>
      <c r="I5" s="2" t="str">
        <f>TEXT(WEEKDAY(DATE(TahunKalender,9,7),1),"aaa")</f>
        <v>Rab</v>
      </c>
      <c r="J5" s="2" t="str">
        <f>TEXT(WEEKDAY(DATE(TahunKalender,9,8),1),"aaa")</f>
        <v>Kam</v>
      </c>
      <c r="K5" s="2" t="str">
        <f>TEXT(WEEKDAY(DATE(TahunKalender,9,9),1),"aaa")</f>
        <v>Jum</v>
      </c>
      <c r="L5" s="2" t="str">
        <f>TEXT(WEEKDAY(DATE(TahunKalender,9,10),1),"aaa")</f>
        <v>Sab</v>
      </c>
      <c r="M5" s="2" t="str">
        <f>TEXT(WEEKDAY(DATE(TahunKalender,9,11),1),"aaa")</f>
        <v>Mgg</v>
      </c>
      <c r="N5" s="2" t="str">
        <f>TEXT(WEEKDAY(DATE(TahunKalender,9,12),1),"aaa")</f>
        <v>Sen</v>
      </c>
      <c r="O5" s="2" t="str">
        <f>TEXT(WEEKDAY(DATE(TahunKalender,9,13),1),"aaa")</f>
        <v>Sel</v>
      </c>
      <c r="P5" s="2" t="str">
        <f>TEXT(WEEKDAY(DATE(TahunKalender,9,14),1),"aaa")</f>
        <v>Rab</v>
      </c>
      <c r="Q5" s="2" t="str">
        <f>TEXT(WEEKDAY(DATE(TahunKalender,9,15),1),"aaa")</f>
        <v>Kam</v>
      </c>
      <c r="R5" s="2" t="str">
        <f>TEXT(WEEKDAY(DATE(TahunKalender,9,16),1),"aaa")</f>
        <v>Jum</v>
      </c>
      <c r="S5" s="2" t="str">
        <f>TEXT(WEEKDAY(DATE(TahunKalender,9,17),1),"aaa")</f>
        <v>Sab</v>
      </c>
      <c r="T5" s="2" t="str">
        <f>TEXT(WEEKDAY(DATE(TahunKalender,9,18),1),"aaa")</f>
        <v>Mgg</v>
      </c>
      <c r="U5" s="2" t="str">
        <f>TEXT(WEEKDAY(DATE(TahunKalender,9,19),1),"aaa")</f>
        <v>Sen</v>
      </c>
      <c r="V5" s="2" t="str">
        <f>TEXT(WEEKDAY(DATE(TahunKalender,9,20),1),"aaa")</f>
        <v>Sel</v>
      </c>
      <c r="W5" s="2" t="str">
        <f>TEXT(WEEKDAY(DATE(TahunKalender,9,21),1),"aaa")</f>
        <v>Rab</v>
      </c>
      <c r="X5" s="2" t="str">
        <f>TEXT(WEEKDAY(DATE(TahunKalender,9,22),1),"aaa")</f>
        <v>Kam</v>
      </c>
      <c r="Y5" s="2" t="str">
        <f>TEXT(WEEKDAY(DATE(TahunKalender,9,23),1),"aaa")</f>
        <v>Jum</v>
      </c>
      <c r="Z5" s="2" t="str">
        <f>TEXT(WEEKDAY(DATE(TahunKalender,9,24),1),"aaa")</f>
        <v>Sab</v>
      </c>
      <c r="AA5" s="2" t="str">
        <f>TEXT(WEEKDAY(DATE(TahunKalender,9,25),1),"aaa")</f>
        <v>Mgg</v>
      </c>
      <c r="AB5" s="2" t="str">
        <f>TEXT(WEEKDAY(DATE(TahunKalender,9,26),1),"aaa")</f>
        <v>Sen</v>
      </c>
      <c r="AC5" s="2" t="str">
        <f>TEXT(WEEKDAY(DATE(TahunKalender,9,27),1),"aaa")</f>
        <v>Sel</v>
      </c>
      <c r="AD5" s="2" t="str">
        <f>TEXT(WEEKDAY(DATE(TahunKalender,9,28),1),"aaa")</f>
        <v>Rab</v>
      </c>
      <c r="AE5" s="2" t="str">
        <f>TEXT(WEEKDAY(DATE(TahunKalender,9,29),1),"aaa")</f>
        <v>Kam</v>
      </c>
      <c r="AF5" s="2" t="str">
        <f>TEXT(WEEKDAY(DATE(TahunKalender,9,30),1),"aaa")</f>
        <v>Jum</v>
      </c>
      <c r="AG5" s="2"/>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COUNTA(September[[#This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COUNTA(September[[#This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COUNTA(September[[#This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COUNTA(September[[#This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COUNTA(September[[#This Row],[1]:[31]])</f>
        <v>0</v>
      </c>
    </row>
    <row r="12" spans="2:34" ht="30" customHeight="1" x14ac:dyDescent="0.25">
      <c r="B12" s="21" t="str">
        <f>NamaBulan&amp;" Total"</f>
        <v>September Total</v>
      </c>
      <c r="C12" s="13">
        <f>SUBTOTAL(103,September[1])</f>
        <v>0</v>
      </c>
      <c r="D12" s="13">
        <f>SUBTOTAL(103,September[2])</f>
        <v>0</v>
      </c>
      <c r="E12" s="13">
        <f>SUBTOTAL(103,September[3])</f>
        <v>0</v>
      </c>
      <c r="F12" s="13">
        <f>SUBTOTAL(103,September[4])</f>
        <v>0</v>
      </c>
      <c r="G12" s="13">
        <f>SUBTOTAL(103,September[5])</f>
        <v>0</v>
      </c>
      <c r="H12" s="13">
        <f>SUBTOTAL(103,September[6])</f>
        <v>0</v>
      </c>
      <c r="I12" s="13">
        <f>SUBTOTAL(103,September[7])</f>
        <v>0</v>
      </c>
      <c r="J12" s="13">
        <f>SUBTOTAL(103,September[8])</f>
        <v>0</v>
      </c>
      <c r="K12" s="13">
        <f>SUBTOTAL(103,September[9])</f>
        <v>0</v>
      </c>
      <c r="L12" s="13">
        <f>SUBTOTAL(103,September[10])</f>
        <v>0</v>
      </c>
      <c r="M12" s="13">
        <f>SUBTOTAL(103,September[11])</f>
        <v>0</v>
      </c>
      <c r="N12" s="13">
        <f>SUBTOTAL(103,September[12])</f>
        <v>0</v>
      </c>
      <c r="O12" s="13">
        <f>SUBTOTAL(103,September[13])</f>
        <v>0</v>
      </c>
      <c r="P12" s="13">
        <f>SUBTOTAL(103,September[14])</f>
        <v>0</v>
      </c>
      <c r="Q12" s="13">
        <f>SUBTOTAL(103,September[15])</f>
        <v>0</v>
      </c>
      <c r="R12" s="13">
        <f>SUBTOTAL(103,September[16])</f>
        <v>0</v>
      </c>
      <c r="S12" s="13">
        <f>SUBTOTAL(103,September[17])</f>
        <v>0</v>
      </c>
      <c r="T12" s="13">
        <f>SUBTOTAL(103,September[18])</f>
        <v>0</v>
      </c>
      <c r="U12" s="13">
        <f>SUBTOTAL(103,September[19])</f>
        <v>0</v>
      </c>
      <c r="V12" s="13">
        <f>SUBTOTAL(103,September[20])</f>
        <v>0</v>
      </c>
      <c r="W12" s="13">
        <f>SUBTOTAL(103,September[21])</f>
        <v>0</v>
      </c>
      <c r="X12" s="13">
        <f>SUBTOTAL(103,September[22])</f>
        <v>0</v>
      </c>
      <c r="Y12" s="13">
        <f>SUBTOTAL(103,September[23])</f>
        <v>0</v>
      </c>
      <c r="Z12" s="13">
        <f>SUBTOTAL(103,September[24])</f>
        <v>0</v>
      </c>
      <c r="AA12" s="13">
        <f>SUBTOTAL(103,September[25])</f>
        <v>0</v>
      </c>
      <c r="AB12" s="13">
        <f>SUBTOTAL(103,September[26])</f>
        <v>0</v>
      </c>
      <c r="AC12" s="13">
        <f>SUBTOTAL(103,September[27])</f>
        <v>0</v>
      </c>
      <c r="AD12" s="13">
        <f>SUBTOTAL(103,September[28])</f>
        <v>0</v>
      </c>
      <c r="AE12" s="13">
        <f>SUBTOTAL(103,September[29])</f>
        <v>0</v>
      </c>
      <c r="AF12" s="13">
        <f>SUBTOTAL(109,September[[30 ]])</f>
        <v>0</v>
      </c>
      <c r="AG12" s="13">
        <f>SUBTOTAL(109,September[31])</f>
        <v>0</v>
      </c>
      <c r="AH12" s="13">
        <f>SUBTOTAL(109,September[Total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295" priority="2" stopIfTrue="1">
      <formula>C7=KustomKunci2</formula>
    </cfRule>
    <cfRule type="expression" dxfId="294" priority="3" stopIfTrue="1">
      <formula>C7=Kustomkunci1</formula>
    </cfRule>
    <cfRule type="expression" dxfId="293" priority="4" stopIfTrue="1">
      <formula>C7=SakitKunci</formula>
    </cfRule>
    <cfRule type="expression" dxfId="292" priority="5" stopIfTrue="1">
      <formula>C7=PribadiKunci</formula>
    </cfRule>
    <cfRule type="expression" dxfId="291"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{1A021984-06A1-41D9-90D2-8C16E885020B}</x14:id>
        </ext>
      </extLst>
    </cfRule>
  </conditionalFormatting>
  <dataValidations count="14">
    <dataValidation allowBlank="1" showInputMessage="1" showErrorMessage="1" prompt="Hari-hari dalam sebulan di baris ini dihasilkan secara otomatis. Masukkan jenis absen dan absen karyawan di setiap kolom untuk setiap hari dalam sebulan. Kosong berarti tidak ada absen" sqref="C6"/>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Masukkan label untuk mendeskripsikan kunci kustom di sebelah kiri" sqref="O2:Q2 S2:U2"/>
    <dataValidation allowBlank="1" showInputMessage="1" showErrorMessage="1" prompt="Masukkan huruf dan sesuaikan label di sebelah kanan untuk menambahkan item kunci lain" sqref="N2 R2"/>
    <dataValidation allowBlank="1" showInputMessage="1" showErrorMessage="1" prompt="Huruf &quot;S&quot; menunjukkan absen karena sakit" sqref="K2"/>
    <dataValidation allowBlank="1" showInputMessage="1" showErrorMessage="1" prompt="Huruf &quot;P&quot; menunjukkan absen karena alasan pribadi" sqref="G2"/>
    <dataValidation allowBlank="1" showInputMessage="1" showErrorMessage="1" prompt="Huruf &quot;L&quot; menunjukkan absen karena liburan" sqref="C2"/>
    <dataValidation allowBlank="1" showInputMessage="1" showErrorMessage="1" prompt="Judul yang diperbarui secara otomatis ada di sel ini. Untuk mengubah judul, perbarui B1 di lembar kerja Januari" sqref="B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Lacak absen bulan September di lembar kerja ini" sqref="A1"/>
    <dataValidation allowBlank="1" showInputMessage="1" showErrorMessage="1" prompt="Otomatis menghitung total jumlah hari karyawan absen bulan ini di kolom ini" sqref="AH6"/>
    <dataValidation allowBlank="1" showInputMessage="1" showErrorMessage="1" prompt="Tahun yang otomatis diperbarui berdasarkan tahun yang dimasukkan dalam lembar kerja Januari" sqref="AH4"/>
    <dataValidation allowBlank="1" showInputMessage="1" showErrorMessage="1" prompt="Hari kerja di baris ini diperbarui secara otomatis untuk bulan terkait sesuai dengan tahun di AH4. Setiap hari dalam sebulan adalah kolom untuk mencatat jenis absen dan absen karyawan" sqref="C5"/>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1A021984-06A1-41D9-90D2-8C16E885020B}">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2" tint="-0.249977111117893"/>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61</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TEXT(WEEKDAY(DATE(TahunKalender,10,1),1),"aaa")</f>
        <v>Sab</v>
      </c>
      <c r="D5" s="2" t="str">
        <f>TEXT(WEEKDAY(DATE(TahunKalender,10,2),1),"aaa")</f>
        <v>Mgg</v>
      </c>
      <c r="E5" s="2" t="str">
        <f>TEXT(WEEKDAY(DATE(TahunKalender,10,3),1),"aaa")</f>
        <v>Sen</v>
      </c>
      <c r="F5" s="2" t="str">
        <f>TEXT(WEEKDAY(DATE(TahunKalender,10,4),1),"aaa")</f>
        <v>Sel</v>
      </c>
      <c r="G5" s="2" t="str">
        <f>TEXT(WEEKDAY(DATE(TahunKalender,10,5),1),"aaa")</f>
        <v>Rab</v>
      </c>
      <c r="H5" s="2" t="str">
        <f>TEXT(WEEKDAY(DATE(TahunKalender,10,6),1),"aaa")</f>
        <v>Kam</v>
      </c>
      <c r="I5" s="2" t="str">
        <f>TEXT(WEEKDAY(DATE(TahunKalender,10,7),1),"aaa")</f>
        <v>Jum</v>
      </c>
      <c r="J5" s="2" t="str">
        <f>TEXT(WEEKDAY(DATE(TahunKalender,10,8),1),"aaa")</f>
        <v>Sab</v>
      </c>
      <c r="K5" s="2" t="str">
        <f>TEXT(WEEKDAY(DATE(TahunKalender,10,9),1),"aaa")</f>
        <v>Mgg</v>
      </c>
      <c r="L5" s="2" t="str">
        <f>TEXT(WEEKDAY(DATE(TahunKalender,10,10),1),"aaa")</f>
        <v>Sen</v>
      </c>
      <c r="M5" s="2" t="str">
        <f>TEXT(WEEKDAY(DATE(TahunKalender,10,11),1),"aaa")</f>
        <v>Sel</v>
      </c>
      <c r="N5" s="2" t="str">
        <f>TEXT(WEEKDAY(DATE(TahunKalender,10,12),1),"aaa")</f>
        <v>Rab</v>
      </c>
      <c r="O5" s="2" t="str">
        <f>TEXT(WEEKDAY(DATE(TahunKalender,10,13),1),"aaa")</f>
        <v>Kam</v>
      </c>
      <c r="P5" s="2" t="str">
        <f>TEXT(WEEKDAY(DATE(TahunKalender,10,14),1),"aaa")</f>
        <v>Jum</v>
      </c>
      <c r="Q5" s="2" t="str">
        <f>TEXT(WEEKDAY(DATE(TahunKalender,10,15),1),"aaa")</f>
        <v>Sab</v>
      </c>
      <c r="R5" s="2" t="str">
        <f>TEXT(WEEKDAY(DATE(TahunKalender,10,16),1),"aaa")</f>
        <v>Mgg</v>
      </c>
      <c r="S5" s="2" t="str">
        <f>TEXT(WEEKDAY(DATE(TahunKalender,10,17),1),"aaa")</f>
        <v>Sen</v>
      </c>
      <c r="T5" s="2" t="str">
        <f>TEXT(WEEKDAY(DATE(TahunKalender,10,18),1),"aaa")</f>
        <v>Sel</v>
      </c>
      <c r="U5" s="2" t="str">
        <f>TEXT(WEEKDAY(DATE(TahunKalender,10,19),1),"aaa")</f>
        <v>Rab</v>
      </c>
      <c r="V5" s="2" t="str">
        <f>TEXT(WEEKDAY(DATE(TahunKalender,10,20),1),"aaa")</f>
        <v>Kam</v>
      </c>
      <c r="W5" s="2" t="str">
        <f>TEXT(WEEKDAY(DATE(TahunKalender,10,21),1),"aaa")</f>
        <v>Jum</v>
      </c>
      <c r="X5" s="2" t="str">
        <f>TEXT(WEEKDAY(DATE(TahunKalender,10,22),1),"aaa")</f>
        <v>Sab</v>
      </c>
      <c r="Y5" s="2" t="str">
        <f>TEXT(WEEKDAY(DATE(TahunKalender,10,23),1),"aaa")</f>
        <v>Mgg</v>
      </c>
      <c r="Z5" s="2" t="str">
        <f>TEXT(WEEKDAY(DATE(TahunKalender,10,24),1),"aaa")</f>
        <v>Sen</v>
      </c>
      <c r="AA5" s="2" t="str">
        <f>TEXT(WEEKDAY(DATE(TahunKalender,10,25),1),"aaa")</f>
        <v>Sel</v>
      </c>
      <c r="AB5" s="2" t="str">
        <f>TEXT(WEEKDAY(DATE(TahunKalender,10,26),1),"aaa")</f>
        <v>Rab</v>
      </c>
      <c r="AC5" s="2" t="str">
        <f>TEXT(WEEKDAY(DATE(TahunKalender,10,27),1),"aaa")</f>
        <v>Kam</v>
      </c>
      <c r="AD5" s="2" t="str">
        <f>TEXT(WEEKDAY(DATE(TahunKalender,10,28),1),"aaa")</f>
        <v>Jum</v>
      </c>
      <c r="AE5" s="2" t="str">
        <f>TEXT(WEEKDAY(DATE(TahunKalender,10,29),1),"aaa")</f>
        <v>Sab</v>
      </c>
      <c r="AF5" s="2" t="str">
        <f>TEXT(WEEKDAY(DATE(TahunKalender,10,30),1),"aaa")</f>
        <v>Mgg</v>
      </c>
      <c r="AG5" s="2" t="str">
        <f>TEXT(WEEKDAY(DATE(TahunKalender,10,31),1),"aaa")</f>
        <v>Sen</v>
      </c>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COUNTA(Oktober[[#This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COUNTA(Oktober[[#This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COUNTA(Oktober[[#This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COUNTA(Oktober[[#This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COUNTA(Oktober[[#This Row],[1]:[31]])</f>
        <v>0</v>
      </c>
    </row>
    <row r="12" spans="2:34" ht="30" customHeight="1" x14ac:dyDescent="0.25">
      <c r="B12" s="21" t="str">
        <f>NamaBulan&amp;" Total"</f>
        <v>Oktober Total</v>
      </c>
      <c r="C12" s="13">
        <f>SUBTOTAL(103,Oktober[1])</f>
        <v>0</v>
      </c>
      <c r="D12" s="13">
        <f>SUBTOTAL(103,Oktober[2])</f>
        <v>0</v>
      </c>
      <c r="E12" s="13">
        <f>SUBTOTAL(103,Oktober[3])</f>
        <v>0</v>
      </c>
      <c r="F12" s="13">
        <f>SUBTOTAL(103,Oktober[4])</f>
        <v>0</v>
      </c>
      <c r="G12" s="13">
        <f>SUBTOTAL(103,Oktober[5])</f>
        <v>0</v>
      </c>
      <c r="H12" s="13">
        <f>SUBTOTAL(103,Oktober[6])</f>
        <v>0</v>
      </c>
      <c r="I12" s="13">
        <f>SUBTOTAL(103,Oktober[7])</f>
        <v>0</v>
      </c>
      <c r="J12" s="13">
        <f>SUBTOTAL(103,Oktober[8])</f>
        <v>0</v>
      </c>
      <c r="K12" s="13">
        <f>SUBTOTAL(103,Oktober[9])</f>
        <v>0</v>
      </c>
      <c r="L12" s="13">
        <f>SUBTOTAL(103,Oktober[10])</f>
        <v>0</v>
      </c>
      <c r="M12" s="13">
        <f>SUBTOTAL(103,Oktober[11])</f>
        <v>0</v>
      </c>
      <c r="N12" s="13">
        <f>SUBTOTAL(103,Oktober[12])</f>
        <v>0</v>
      </c>
      <c r="O12" s="13">
        <f>SUBTOTAL(103,Oktober[13])</f>
        <v>0</v>
      </c>
      <c r="P12" s="13">
        <f>SUBTOTAL(103,Oktober[14])</f>
        <v>0</v>
      </c>
      <c r="Q12" s="13">
        <f>SUBTOTAL(103,Oktober[15])</f>
        <v>0</v>
      </c>
      <c r="R12" s="13">
        <f>SUBTOTAL(103,Oktober[16])</f>
        <v>0</v>
      </c>
      <c r="S12" s="13">
        <f>SUBTOTAL(103,Oktober[17])</f>
        <v>0</v>
      </c>
      <c r="T12" s="13">
        <f>SUBTOTAL(103,Oktober[18])</f>
        <v>0</v>
      </c>
      <c r="U12" s="13">
        <f>SUBTOTAL(103,Oktober[19])</f>
        <v>0</v>
      </c>
      <c r="V12" s="13">
        <f>SUBTOTAL(103,Oktober[20])</f>
        <v>0</v>
      </c>
      <c r="W12" s="13">
        <f>SUBTOTAL(103,Oktober[21])</f>
        <v>0</v>
      </c>
      <c r="X12" s="13">
        <f>SUBTOTAL(103,Oktober[22])</f>
        <v>0</v>
      </c>
      <c r="Y12" s="13">
        <f>SUBTOTAL(103,Oktober[23])</f>
        <v>0</v>
      </c>
      <c r="Z12" s="13">
        <f>SUBTOTAL(103,Oktober[24])</f>
        <v>0</v>
      </c>
      <c r="AA12" s="13">
        <f>SUBTOTAL(103,Oktober[25])</f>
        <v>0</v>
      </c>
      <c r="AB12" s="13">
        <f>SUBTOTAL(103,Oktober[26])</f>
        <v>0</v>
      </c>
      <c r="AC12" s="13">
        <f>SUBTOTAL(103,Oktober[27])</f>
        <v>0</v>
      </c>
      <c r="AD12" s="13">
        <f>SUBTOTAL(103,Oktober[28])</f>
        <v>0</v>
      </c>
      <c r="AE12" s="13">
        <f>SUBTOTAL(103,Oktober[29])</f>
        <v>0</v>
      </c>
      <c r="AF12" s="13">
        <f>SUBTOTAL(109,Oktober[[30 ]])</f>
        <v>0</v>
      </c>
      <c r="AG12" s="13">
        <f>SUBTOTAL(109,Oktober[31])</f>
        <v>0</v>
      </c>
      <c r="AH12" s="13">
        <f>SUBTOTAL(109,Oktober[Total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221" priority="2" stopIfTrue="1">
      <formula>C7=KustomKunci2</formula>
    </cfRule>
    <cfRule type="expression" dxfId="220" priority="3" stopIfTrue="1">
      <formula>C7=Kustomkunci1</formula>
    </cfRule>
    <cfRule type="expression" dxfId="219" priority="4" stopIfTrue="1">
      <formula>C7=SakitKunci</formula>
    </cfRule>
    <cfRule type="expression" dxfId="218" priority="5" stopIfTrue="1">
      <formula>C7=PribadiKunci</formula>
    </cfRule>
    <cfRule type="expression" dxfId="217"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{F32A08EA-50E8-4B5F-AB1F-5A7739FBC16C}</x14:id>
        </ext>
      </extLst>
    </cfRule>
  </conditionalFormatting>
  <dataValidations disablePrompts="1" count="14">
    <dataValidation allowBlank="1" showInputMessage="1" showErrorMessage="1" prompt="Hari kerja di baris ini diperbarui secara otomatis untuk bulan terkait sesuai dengan tahun di AH4. Setiap hari dalam sebulan adalah kolom untuk mencatat jenis absen dan absen karyawan" sqref="C5"/>
    <dataValidation allowBlank="1" showInputMessage="1" showErrorMessage="1" prompt="Tahun yang otomatis diperbarui berdasarkan tahun yang dimasukkan dalam lembar kerja Januari" sqref="AH4"/>
    <dataValidation allowBlank="1" showInputMessage="1" showErrorMessage="1" prompt="Otomatis menghitung total jumlah hari karyawan absen bulan ini di kolom ini" sqref="AH6"/>
    <dataValidation allowBlank="1" showInputMessage="1" showErrorMessage="1" prompt="Lacak absen bulan Oktober di lembar kerja ini" sqref="A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Judul yang diperbarui secara otomatis ada di sel ini. Untuk mengubah judul, perbarui B1 di lembar kerja Januari" sqref="B1"/>
    <dataValidation allowBlank="1" showInputMessage="1" showErrorMessage="1" prompt="Huruf &quot;L&quot; menunjukkan absen karena liburan" sqref="C2"/>
    <dataValidation allowBlank="1" showInputMessage="1" showErrorMessage="1" prompt="Huruf &quot;P&quot; menunjukkan absen karena alasan pribadi" sqref="G2"/>
    <dataValidation allowBlank="1" showInputMessage="1" showErrorMessage="1" prompt="Huruf &quot;S&quot; menunjukkan absen karena sakit" sqref="K2"/>
    <dataValidation allowBlank="1" showInputMessage="1" showErrorMessage="1" prompt="Masukkan huruf dan sesuaikan label di sebelah kanan untuk menambahkan item kunci lain" sqref="N2 R2"/>
    <dataValidation allowBlank="1" showInputMessage="1" showErrorMessage="1" prompt="Masukkan label untuk mendeskripsikan kunci kustom di sebelah kiri" sqref="O2:Q2 S2:U2"/>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Hari-hari dalam sebulan di baris ini dihasilkan secara otomatis. Masukkan jenis absen dan absen karyawan di setiap kolom untuk setiap hari dalam sebulan. Kosong berarti tidak ada absen" sqref="C6"/>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F32A08EA-50E8-4B5F-AB1F-5A7739FBC16C}">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'Nama Karyawan'!$B$4:$B$8</xm:f>
          </x14:formula1>
          <xm:sqref>B7:B11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2" tint="-0.249977111117893"/>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62</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TEXT(WEEKDAY(DATE(TahunKalender,11,1),1),"aaa")</f>
        <v>Sel</v>
      </c>
      <c r="D5" s="2" t="str">
        <f>TEXT(WEEKDAY(DATE(TahunKalender,11,2),1),"aaa")</f>
        <v>Rab</v>
      </c>
      <c r="E5" s="2" t="str">
        <f>TEXT(WEEKDAY(DATE(TahunKalender,11,3),1),"aaa")</f>
        <v>Kam</v>
      </c>
      <c r="F5" s="2" t="str">
        <f>TEXT(WEEKDAY(DATE(TahunKalender,11,4),1),"aaa")</f>
        <v>Jum</v>
      </c>
      <c r="G5" s="2" t="str">
        <f>TEXT(WEEKDAY(DATE(TahunKalender,11,5),1),"aaa")</f>
        <v>Sab</v>
      </c>
      <c r="H5" s="2" t="str">
        <f>TEXT(WEEKDAY(DATE(TahunKalender,11,6),1),"aaa")</f>
        <v>Mgg</v>
      </c>
      <c r="I5" s="2" t="str">
        <f>TEXT(WEEKDAY(DATE(TahunKalender,11,7),1),"aaa")</f>
        <v>Sen</v>
      </c>
      <c r="J5" s="2" t="str">
        <f>TEXT(WEEKDAY(DATE(TahunKalender,11,8),1),"aaa")</f>
        <v>Sel</v>
      </c>
      <c r="K5" s="2" t="str">
        <f>TEXT(WEEKDAY(DATE(TahunKalender,11,9),1),"aaa")</f>
        <v>Rab</v>
      </c>
      <c r="L5" s="2" t="str">
        <f>TEXT(WEEKDAY(DATE(TahunKalender,11,10),1),"aaa")</f>
        <v>Kam</v>
      </c>
      <c r="M5" s="2" t="str">
        <f>TEXT(WEEKDAY(DATE(TahunKalender,11,11),1),"aaa")</f>
        <v>Jum</v>
      </c>
      <c r="N5" s="2" t="str">
        <f>TEXT(WEEKDAY(DATE(TahunKalender,11,12),1),"aaa")</f>
        <v>Sab</v>
      </c>
      <c r="O5" s="2" t="str">
        <f>TEXT(WEEKDAY(DATE(TahunKalender,11,13),1),"aaa")</f>
        <v>Mgg</v>
      </c>
      <c r="P5" s="2" t="str">
        <f>TEXT(WEEKDAY(DATE(TahunKalender,11,14),1),"aaa")</f>
        <v>Sen</v>
      </c>
      <c r="Q5" s="2" t="str">
        <f>TEXT(WEEKDAY(DATE(TahunKalender,11,15),1),"aaa")</f>
        <v>Sel</v>
      </c>
      <c r="R5" s="2" t="str">
        <f>TEXT(WEEKDAY(DATE(TahunKalender,11,16),1),"aaa")</f>
        <v>Rab</v>
      </c>
      <c r="S5" s="2" t="str">
        <f>TEXT(WEEKDAY(DATE(TahunKalender,11,17),1),"aaa")</f>
        <v>Kam</v>
      </c>
      <c r="T5" s="2" t="str">
        <f>TEXT(WEEKDAY(DATE(TahunKalender,11,18),1),"aaa")</f>
        <v>Jum</v>
      </c>
      <c r="U5" s="2" t="str">
        <f>TEXT(WEEKDAY(DATE(TahunKalender,11,19),1),"aaa")</f>
        <v>Sab</v>
      </c>
      <c r="V5" s="2" t="str">
        <f>TEXT(WEEKDAY(DATE(TahunKalender,11,20),1),"aaa")</f>
        <v>Mgg</v>
      </c>
      <c r="W5" s="2" t="str">
        <f>TEXT(WEEKDAY(DATE(TahunKalender,11,21),1),"aaa")</f>
        <v>Sen</v>
      </c>
      <c r="X5" s="2" t="str">
        <f>TEXT(WEEKDAY(DATE(TahunKalender,11,22),1),"aaa")</f>
        <v>Sel</v>
      </c>
      <c r="Y5" s="2" t="str">
        <f>TEXT(WEEKDAY(DATE(TahunKalender,11,23),1),"aaa")</f>
        <v>Rab</v>
      </c>
      <c r="Z5" s="2" t="str">
        <f>TEXT(WEEKDAY(DATE(TahunKalender,11,24),1),"aaa")</f>
        <v>Kam</v>
      </c>
      <c r="AA5" s="2" t="str">
        <f>TEXT(WEEKDAY(DATE(TahunKalender,11,25),1),"aaa")</f>
        <v>Jum</v>
      </c>
      <c r="AB5" s="2" t="str">
        <f>TEXT(WEEKDAY(DATE(TahunKalender,11,26),1),"aaa")</f>
        <v>Sab</v>
      </c>
      <c r="AC5" s="2" t="str">
        <f>TEXT(WEEKDAY(DATE(TahunKalender,11,27),1),"aaa")</f>
        <v>Mgg</v>
      </c>
      <c r="AD5" s="2" t="str">
        <f>TEXT(WEEKDAY(DATE(TahunKalender,11,28),1),"aaa")</f>
        <v>Sen</v>
      </c>
      <c r="AE5" s="2" t="str">
        <f>TEXT(WEEKDAY(DATE(TahunKalender,11,29),1),"aaa")</f>
        <v>Sel</v>
      </c>
      <c r="AF5" s="2" t="str">
        <f>TEXT(WEEKDAY(DATE(TahunKalender,11,30),1),"aaa")</f>
        <v>Rab</v>
      </c>
      <c r="AG5" s="2"/>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COUNTA(November[[#This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COUNTA(November[[#This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COUNTA(November[[#This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COUNTA(November[[#This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COUNTA(November[[#This Row],[1]:[31]])</f>
        <v>0</v>
      </c>
    </row>
    <row r="12" spans="2:34" ht="30" customHeight="1" x14ac:dyDescent="0.25">
      <c r="B12" s="21" t="str">
        <f>NamaBulan&amp;" Total"</f>
        <v>November Total</v>
      </c>
      <c r="C12" s="13">
        <f>SUBTOTAL(103,November[1])</f>
        <v>0</v>
      </c>
      <c r="D12" s="13">
        <f>SUBTOTAL(103,November[2])</f>
        <v>0</v>
      </c>
      <c r="E12" s="13">
        <f>SUBTOTAL(103,November[3])</f>
        <v>0</v>
      </c>
      <c r="F12" s="13">
        <f>SUBTOTAL(103,November[4])</f>
        <v>0</v>
      </c>
      <c r="G12" s="13">
        <f>SUBTOTAL(103,November[5])</f>
        <v>0</v>
      </c>
      <c r="H12" s="13">
        <f>SUBTOTAL(103,November[6])</f>
        <v>0</v>
      </c>
      <c r="I12" s="13">
        <f>SUBTOTAL(103,November[7])</f>
        <v>0</v>
      </c>
      <c r="J12" s="13">
        <f>SUBTOTAL(103,November[8])</f>
        <v>0</v>
      </c>
      <c r="K12" s="13">
        <f>SUBTOTAL(103,November[9])</f>
        <v>0</v>
      </c>
      <c r="L12" s="13">
        <f>SUBTOTAL(103,November[10])</f>
        <v>0</v>
      </c>
      <c r="M12" s="13">
        <f>SUBTOTAL(103,November[11])</f>
        <v>0</v>
      </c>
      <c r="N12" s="13">
        <f>SUBTOTAL(103,November[12])</f>
        <v>0</v>
      </c>
      <c r="O12" s="13">
        <f>SUBTOTAL(103,November[13])</f>
        <v>0</v>
      </c>
      <c r="P12" s="13">
        <f>SUBTOTAL(103,November[14])</f>
        <v>0</v>
      </c>
      <c r="Q12" s="13">
        <f>SUBTOTAL(103,November[15])</f>
        <v>0</v>
      </c>
      <c r="R12" s="13">
        <f>SUBTOTAL(103,November[16])</f>
        <v>0</v>
      </c>
      <c r="S12" s="13">
        <f>SUBTOTAL(103,November[17])</f>
        <v>0</v>
      </c>
      <c r="T12" s="13">
        <f>SUBTOTAL(103,November[18])</f>
        <v>0</v>
      </c>
      <c r="U12" s="13">
        <f>SUBTOTAL(103,November[19])</f>
        <v>0</v>
      </c>
      <c r="V12" s="13">
        <f>SUBTOTAL(103,November[20])</f>
        <v>0</v>
      </c>
      <c r="W12" s="13">
        <f>SUBTOTAL(103,November[21])</f>
        <v>0</v>
      </c>
      <c r="X12" s="13">
        <f>SUBTOTAL(103,November[22])</f>
        <v>0</v>
      </c>
      <c r="Y12" s="13">
        <f>SUBTOTAL(103,November[23])</f>
        <v>0</v>
      </c>
      <c r="Z12" s="13">
        <f>SUBTOTAL(103,November[24])</f>
        <v>0</v>
      </c>
      <c r="AA12" s="13">
        <f>SUBTOTAL(103,November[25])</f>
        <v>0</v>
      </c>
      <c r="AB12" s="13">
        <f>SUBTOTAL(103,November[26])</f>
        <v>0</v>
      </c>
      <c r="AC12" s="13">
        <f>SUBTOTAL(103,November[27])</f>
        <v>0</v>
      </c>
      <c r="AD12" s="13">
        <f>SUBTOTAL(103,November[28])</f>
        <v>0</v>
      </c>
      <c r="AE12" s="13">
        <f>SUBTOTAL(103,November[29])</f>
        <v>0</v>
      </c>
      <c r="AF12" s="13">
        <f>SUBTOTAL(109,November[[30 ]])</f>
        <v>0</v>
      </c>
      <c r="AG12" s="13">
        <f>SUBTOTAL(109,November[31])</f>
        <v>0</v>
      </c>
      <c r="AH12" s="13">
        <f>SUBTOTAL(109,November[Total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147" priority="2" stopIfTrue="1">
      <formula>C7=KustomKunci2</formula>
    </cfRule>
    <cfRule type="expression" dxfId="146" priority="3" stopIfTrue="1">
      <formula>C7=Kustomkunci1</formula>
    </cfRule>
    <cfRule type="expression" dxfId="145" priority="4" stopIfTrue="1">
      <formula>C7=SakitKunci</formula>
    </cfRule>
    <cfRule type="expression" dxfId="144" priority="5" stopIfTrue="1">
      <formula>C7=PribadiKunci</formula>
    </cfRule>
    <cfRule type="expression" dxfId="143" priority="6" stopIfTrue="1">
      <formula>C7=LiburanKunci</formula>
    </cfRule>
  </conditionalFormatting>
  <conditionalFormatting sqref="AH7:AH11">
    <cfRule type="dataBar" priority="7">
      <dataBar>
        <cfvo type="min"/>
        <cfvo type="formula" val="DATEDIF(DATE(TahunKalender,2,1),DATE(TahunKalender,3,1),&quot;d&quot;)"/>
        <color theme="2" tint="-0.249977111117893"/>
      </dataBar>
      <extLst>
        <ext xmlns:x14="http://schemas.microsoft.com/office/spreadsheetml/2009/9/main" uri="{B025F937-C7B1-47D3-B67F-A62EFF666E3E}">
          <x14:id>{27D92E49-5CF1-46DF-AD7A-3A5E92F274F3}</x14:id>
        </ext>
      </extLst>
    </cfRule>
  </conditionalFormatting>
  <dataValidations count="14">
    <dataValidation allowBlank="1" showInputMessage="1" showErrorMessage="1" prompt="Hari-hari dalam sebulan di baris ini dihasilkan secara otomatis. Masukkan jenis absen dan absen karyawan di setiap kolom untuk setiap hari dalam sebulan. Kosong berarti tidak ada absen" sqref="C6"/>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Masukkan label untuk mendeskripsikan kunci kustom di sebelah kiri" sqref="O2:Q2 S2:U2"/>
    <dataValidation allowBlank="1" showInputMessage="1" showErrorMessage="1" prompt="Masukkan huruf dan sesuaikan label di sebelah kanan untuk menambahkan item kunci lain" sqref="N2 R2"/>
    <dataValidation allowBlank="1" showInputMessage="1" showErrorMessage="1" prompt="Huruf &quot;S&quot; menunjukkan absen karena sakit" sqref="K2"/>
    <dataValidation allowBlank="1" showInputMessage="1" showErrorMessage="1" prompt="Huruf &quot;P&quot; menunjukkan absen karena alasan pribadi" sqref="G2"/>
    <dataValidation allowBlank="1" showInputMessage="1" showErrorMessage="1" prompt="Huruf &quot;L&quot; menunjukkan absen karena liburan" sqref="C2"/>
    <dataValidation allowBlank="1" showInputMessage="1" showErrorMessage="1" prompt="Judul yang diperbarui secara otomatis ada di sel ini. Untuk mengubah judul, perbarui B1 di lembar kerja Januari" sqref="B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Lacak absen bulan November di lembar kerja ini" sqref="A1"/>
    <dataValidation allowBlank="1" showInputMessage="1" showErrorMessage="1" prompt="Otomatis menghitung total jumlah hari karyawan absen bulan ini di kolom ini" sqref="AH6"/>
    <dataValidation allowBlank="1" showInputMessage="1" showErrorMessage="1" prompt="Tahun yang otomatis diperbarui berdasarkan tahun yang dimasukkan dalam lembar kerja Januari" sqref="AH4"/>
    <dataValidation allowBlank="1" showInputMessage="1" showErrorMessage="1" prompt="Hari kerja di baris ini diperbarui secara otomatis untuk bulan terkait sesuai dengan tahun di AH4. Setiap hari dalam sebulan adalah kolom untuk mencatat jenis absen dan absen karyawan" sqref="C5"/>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27D92E49-5CF1-46DF-AD7A-3A5E92F274F3}">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pageSetUpPr fitToPage="1"/>
  </sheetPr>
  <dimension ref="A1:AH12"/>
  <sheetViews>
    <sheetView showGridLines="0" zoomScaleNormal="100" workbookViewId="0"/>
  </sheetViews>
  <sheetFormatPr defaultRowHeight="30" customHeight="1" x14ac:dyDescent="0.25"/>
  <cols>
    <col min="1" max="1" width="2.7109375" style="11" customWidth="1"/>
    <col min="2" max="2" width="25.7109375" style="11" customWidth="1"/>
    <col min="3" max="33" width="4.7109375" style="11" customWidth="1"/>
    <col min="34" max="34" width="16.7109375" style="11" customWidth="1"/>
    <col min="35" max="35" width="2.7109375" customWidth="1"/>
  </cols>
  <sheetData>
    <row r="1" spans="2:34" ht="50.1" customHeight="1" x14ac:dyDescent="0.25">
      <c r="B1" s="14" t="str">
        <f>Judul_Absen_Karyawan</f>
        <v>Jadwal Absen Karyawan</v>
      </c>
    </row>
    <row r="2" spans="2:34" ht="15" customHeight="1" x14ac:dyDescent="0.25">
      <c r="B2" s="19" t="s">
        <v>1</v>
      </c>
      <c r="C2" s="4" t="s">
        <v>9</v>
      </c>
      <c r="D2" s="24" t="s">
        <v>12</v>
      </c>
      <c r="E2" s="24"/>
      <c r="F2" s="24"/>
      <c r="G2" s="5" t="s">
        <v>15</v>
      </c>
      <c r="H2" s="24" t="s">
        <v>19</v>
      </c>
      <c r="I2" s="24"/>
      <c r="J2" s="24"/>
      <c r="K2" s="6" t="s">
        <v>17</v>
      </c>
      <c r="L2" s="24" t="s">
        <v>24</v>
      </c>
      <c r="M2" s="24"/>
      <c r="N2" s="7"/>
      <c r="O2" s="24" t="s">
        <v>28</v>
      </c>
      <c r="P2" s="24"/>
      <c r="Q2" s="24"/>
      <c r="R2" s="8"/>
      <c r="S2" s="24" t="s">
        <v>33</v>
      </c>
      <c r="T2" s="24"/>
      <c r="U2" s="24"/>
    </row>
    <row r="3" spans="2:34" ht="15" customHeight="1" x14ac:dyDescent="0.25">
      <c r="B3" s="14"/>
    </row>
    <row r="4" spans="2:34" ht="30" customHeight="1" x14ac:dyDescent="0.25">
      <c r="B4" s="12" t="s">
        <v>63</v>
      </c>
      <c r="C4" s="23" t="s">
        <v>10</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12">
        <f>TahunKalender</f>
        <v>2016</v>
      </c>
    </row>
    <row r="5" spans="2:34" ht="15" customHeight="1" x14ac:dyDescent="0.25">
      <c r="B5" s="12"/>
      <c r="C5" s="2" t="str">
        <f>TEXT(WEEKDAY(DATE(TahunKalender,12,1),1),"aaa")</f>
        <v>Kam</v>
      </c>
      <c r="D5" s="2" t="str">
        <f>TEXT(WEEKDAY(DATE(TahunKalender,12,2),1),"aaa")</f>
        <v>Jum</v>
      </c>
      <c r="E5" s="2" t="str">
        <f>TEXT(WEEKDAY(DATE(TahunKalender,12,3),1),"aaa")</f>
        <v>Sab</v>
      </c>
      <c r="F5" s="2" t="str">
        <f>TEXT(WEEKDAY(DATE(TahunKalender,12,4),1),"aaa")</f>
        <v>Mgg</v>
      </c>
      <c r="G5" s="2" t="str">
        <f>TEXT(WEEKDAY(DATE(TahunKalender,12,5),1),"aaa")</f>
        <v>Sen</v>
      </c>
      <c r="H5" s="2" t="str">
        <f>TEXT(WEEKDAY(DATE(TahunKalender,12,6),1),"aaa")</f>
        <v>Sel</v>
      </c>
      <c r="I5" s="2" t="str">
        <f>TEXT(WEEKDAY(DATE(TahunKalender,12,7),1),"aaa")</f>
        <v>Rab</v>
      </c>
      <c r="J5" s="2" t="str">
        <f>TEXT(WEEKDAY(DATE(TahunKalender,12,8),1),"aaa")</f>
        <v>Kam</v>
      </c>
      <c r="K5" s="2" t="str">
        <f>TEXT(WEEKDAY(DATE(TahunKalender,12,9),1),"aaa")</f>
        <v>Jum</v>
      </c>
      <c r="L5" s="2" t="str">
        <f>TEXT(WEEKDAY(DATE(TahunKalender,12,10),1),"aaa")</f>
        <v>Sab</v>
      </c>
      <c r="M5" s="2" t="str">
        <f>TEXT(WEEKDAY(DATE(TahunKalender,12,11),1),"aaa")</f>
        <v>Mgg</v>
      </c>
      <c r="N5" s="2" t="str">
        <f>TEXT(WEEKDAY(DATE(TahunKalender,12,12),1),"aaa")</f>
        <v>Sen</v>
      </c>
      <c r="O5" s="2" t="str">
        <f>TEXT(WEEKDAY(DATE(TahunKalender,12,13),1),"aaa")</f>
        <v>Sel</v>
      </c>
      <c r="P5" s="2" t="str">
        <f>TEXT(WEEKDAY(DATE(TahunKalender,12,14),1),"aaa")</f>
        <v>Rab</v>
      </c>
      <c r="Q5" s="2" t="str">
        <f>TEXT(WEEKDAY(DATE(TahunKalender,12,15),1),"aaa")</f>
        <v>Kam</v>
      </c>
      <c r="R5" s="2" t="str">
        <f>TEXT(WEEKDAY(DATE(TahunKalender,12,16),1),"aaa")</f>
        <v>Jum</v>
      </c>
      <c r="S5" s="2" t="str">
        <f>TEXT(WEEKDAY(DATE(TahunKalender,12,17),1),"aaa")</f>
        <v>Sab</v>
      </c>
      <c r="T5" s="2" t="str">
        <f>TEXT(WEEKDAY(DATE(TahunKalender,12,18),1),"aaa")</f>
        <v>Mgg</v>
      </c>
      <c r="U5" s="2" t="str">
        <f>TEXT(WEEKDAY(DATE(TahunKalender,12,19),1),"aaa")</f>
        <v>Sen</v>
      </c>
      <c r="V5" s="2" t="str">
        <f>TEXT(WEEKDAY(DATE(TahunKalender,12,20),1),"aaa")</f>
        <v>Sel</v>
      </c>
      <c r="W5" s="2" t="str">
        <f>TEXT(WEEKDAY(DATE(TahunKalender,12,21),1),"aaa")</f>
        <v>Rab</v>
      </c>
      <c r="X5" s="2" t="str">
        <f>TEXT(WEEKDAY(DATE(TahunKalender,12,22),1),"aaa")</f>
        <v>Kam</v>
      </c>
      <c r="Y5" s="2" t="str">
        <f>TEXT(WEEKDAY(DATE(TahunKalender,12,23),1),"aaa")</f>
        <v>Jum</v>
      </c>
      <c r="Z5" s="2" t="str">
        <f>TEXT(WEEKDAY(DATE(TahunKalender,12,24),1),"aaa")</f>
        <v>Sab</v>
      </c>
      <c r="AA5" s="2" t="str">
        <f>TEXT(WEEKDAY(DATE(TahunKalender,12,25),1),"aaa")</f>
        <v>Mgg</v>
      </c>
      <c r="AB5" s="2" t="str">
        <f>TEXT(WEEKDAY(DATE(TahunKalender,12,26),1),"aaa")</f>
        <v>Sen</v>
      </c>
      <c r="AC5" s="2" t="str">
        <f>TEXT(WEEKDAY(DATE(TahunKalender,12,27),1),"aaa")</f>
        <v>Sel</v>
      </c>
      <c r="AD5" s="2" t="str">
        <f>TEXT(WEEKDAY(DATE(TahunKalender,12,28),1),"aaa")</f>
        <v>Rab</v>
      </c>
      <c r="AE5" s="2" t="str">
        <f>TEXT(WEEKDAY(DATE(TahunKalender,12,29),1),"aaa")</f>
        <v>Kam</v>
      </c>
      <c r="AF5" s="2" t="str">
        <f>TEXT(WEEKDAY(DATE(TahunKalender,12,30),1),"aaa")</f>
        <v>Jum</v>
      </c>
      <c r="AG5" s="2" t="str">
        <f>TEXT(WEEKDAY(DATE(TahunKalender,12,31),1),"aaa")</f>
        <v>Sab</v>
      </c>
      <c r="AH5" s="12"/>
    </row>
    <row r="6" spans="2:34" ht="15" customHeight="1" x14ac:dyDescent="0.25">
      <c r="B6" s="15" t="s">
        <v>3</v>
      </c>
      <c r="C6" s="3" t="s">
        <v>11</v>
      </c>
      <c r="D6" s="3" t="s">
        <v>13</v>
      </c>
      <c r="E6" s="3" t="s">
        <v>14</v>
      </c>
      <c r="F6" s="3" t="s">
        <v>16</v>
      </c>
      <c r="G6" s="3" t="s">
        <v>18</v>
      </c>
      <c r="H6" s="3" t="s">
        <v>20</v>
      </c>
      <c r="I6" s="3" t="s">
        <v>21</v>
      </c>
      <c r="J6" s="3" t="s">
        <v>22</v>
      </c>
      <c r="K6" s="3" t="s">
        <v>23</v>
      </c>
      <c r="L6" s="3" t="s">
        <v>25</v>
      </c>
      <c r="M6" s="3" t="s">
        <v>26</v>
      </c>
      <c r="N6" s="3" t="s">
        <v>27</v>
      </c>
      <c r="O6" s="3" t="s">
        <v>29</v>
      </c>
      <c r="P6" s="3" t="s">
        <v>30</v>
      </c>
      <c r="Q6" s="3" t="s">
        <v>31</v>
      </c>
      <c r="R6" s="3" t="s">
        <v>32</v>
      </c>
      <c r="S6" s="3" t="s">
        <v>34</v>
      </c>
      <c r="T6" s="3" t="s">
        <v>35</v>
      </c>
      <c r="U6" s="3" t="s">
        <v>36</v>
      </c>
      <c r="V6" s="3" t="s">
        <v>37</v>
      </c>
      <c r="W6" s="3" t="s">
        <v>38</v>
      </c>
      <c r="X6" s="3" t="s">
        <v>39</v>
      </c>
      <c r="Y6" s="3" t="s">
        <v>40</v>
      </c>
      <c r="Z6" s="3" t="s">
        <v>41</v>
      </c>
      <c r="AA6" s="3" t="s">
        <v>42</v>
      </c>
      <c r="AB6" s="3" t="s">
        <v>43</v>
      </c>
      <c r="AC6" s="3" t="s">
        <v>44</v>
      </c>
      <c r="AD6" s="3" t="s">
        <v>45</v>
      </c>
      <c r="AE6" s="3" t="s">
        <v>46</v>
      </c>
      <c r="AF6" s="3" t="s">
        <v>47</v>
      </c>
      <c r="AG6" s="3" t="s">
        <v>48</v>
      </c>
      <c r="AH6" s="16" t="s">
        <v>50</v>
      </c>
    </row>
    <row r="7" spans="2:34" ht="30" customHeight="1" x14ac:dyDescent="0.25">
      <c r="B7" s="17" t="s">
        <v>4</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10">
        <f>COUNTA(Desember[[#This Row],[1]:[31]])</f>
        <v>0</v>
      </c>
    </row>
    <row r="8" spans="2:34" ht="30" customHeight="1" x14ac:dyDescent="0.25">
      <c r="B8" s="17" t="s">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10">
        <f>COUNTA(Desember[[#This Row],[1]:[31]])</f>
        <v>0</v>
      </c>
    </row>
    <row r="9" spans="2:34" ht="30" customHeight="1" x14ac:dyDescent="0.25">
      <c r="B9" s="17" t="s">
        <v>6</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10">
        <f>COUNTA(Desember[[#This Row],[1]:[31]])</f>
        <v>0</v>
      </c>
    </row>
    <row r="10" spans="2:34" ht="30" customHeight="1" x14ac:dyDescent="0.25">
      <c r="B10" s="17" t="s">
        <v>7</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10">
        <f>COUNTA(Desember[[#This Row],[1]:[31]])</f>
        <v>0</v>
      </c>
    </row>
    <row r="11" spans="2:34" ht="30" customHeight="1" x14ac:dyDescent="0.25">
      <c r="B11" s="17" t="s">
        <v>8</v>
      </c>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10">
        <f>COUNTA(Desember[[#This Row],[1]:[31]])</f>
        <v>0</v>
      </c>
    </row>
    <row r="12" spans="2:34" ht="30" customHeight="1" x14ac:dyDescent="0.25">
      <c r="B12" s="21" t="str">
        <f>NamaBulan&amp;" Total"</f>
        <v>Desember Total</v>
      </c>
      <c r="C12" s="13">
        <f>SUBTOTAL(103,Desember[1])</f>
        <v>0</v>
      </c>
      <c r="D12" s="13">
        <f>SUBTOTAL(103,Desember[2])</f>
        <v>0</v>
      </c>
      <c r="E12" s="13">
        <f>SUBTOTAL(103,Desember[3])</f>
        <v>0</v>
      </c>
      <c r="F12" s="13">
        <f>SUBTOTAL(103,Desember[4])</f>
        <v>0</v>
      </c>
      <c r="G12" s="13">
        <f>SUBTOTAL(103,Desember[5])</f>
        <v>0</v>
      </c>
      <c r="H12" s="13">
        <f>SUBTOTAL(103,Desember[6])</f>
        <v>0</v>
      </c>
      <c r="I12" s="13">
        <f>SUBTOTAL(103,Desember[7])</f>
        <v>0</v>
      </c>
      <c r="J12" s="13">
        <f>SUBTOTAL(103,Desember[8])</f>
        <v>0</v>
      </c>
      <c r="K12" s="13">
        <f>SUBTOTAL(103,Desember[9])</f>
        <v>0</v>
      </c>
      <c r="L12" s="13">
        <f>SUBTOTAL(103,Desember[10])</f>
        <v>0</v>
      </c>
      <c r="M12" s="13">
        <f>SUBTOTAL(103,Desember[11])</f>
        <v>0</v>
      </c>
      <c r="N12" s="13">
        <f>SUBTOTAL(103,Desember[12])</f>
        <v>0</v>
      </c>
      <c r="O12" s="13">
        <f>SUBTOTAL(103,Desember[13])</f>
        <v>0</v>
      </c>
      <c r="P12" s="13">
        <f>SUBTOTAL(103,Desember[14])</f>
        <v>0</v>
      </c>
      <c r="Q12" s="13">
        <f>SUBTOTAL(103,Desember[15])</f>
        <v>0</v>
      </c>
      <c r="R12" s="13">
        <f>SUBTOTAL(103,Desember[16])</f>
        <v>0</v>
      </c>
      <c r="S12" s="13">
        <f>SUBTOTAL(103,Desember[17])</f>
        <v>0</v>
      </c>
      <c r="T12" s="13">
        <f>SUBTOTAL(103,Desember[18])</f>
        <v>0</v>
      </c>
      <c r="U12" s="13">
        <f>SUBTOTAL(103,Desember[19])</f>
        <v>0</v>
      </c>
      <c r="V12" s="13">
        <f>SUBTOTAL(103,Desember[20])</f>
        <v>0</v>
      </c>
      <c r="W12" s="13">
        <f>SUBTOTAL(103,Desember[21])</f>
        <v>0</v>
      </c>
      <c r="X12" s="13">
        <f>SUBTOTAL(103,Desember[22])</f>
        <v>0</v>
      </c>
      <c r="Y12" s="13">
        <f>SUBTOTAL(103,Desember[23])</f>
        <v>0</v>
      </c>
      <c r="Z12" s="13">
        <f>SUBTOTAL(103,Desember[24])</f>
        <v>0</v>
      </c>
      <c r="AA12" s="13">
        <f>SUBTOTAL(103,Desember[25])</f>
        <v>0</v>
      </c>
      <c r="AB12" s="13">
        <f>SUBTOTAL(103,Desember[26])</f>
        <v>0</v>
      </c>
      <c r="AC12" s="13">
        <f>SUBTOTAL(103,Desember[27])</f>
        <v>0</v>
      </c>
      <c r="AD12" s="13">
        <f>SUBTOTAL(103,Desember[28])</f>
        <v>0</v>
      </c>
      <c r="AE12" s="13">
        <f>SUBTOTAL(103,Desember[29])</f>
        <v>0</v>
      </c>
      <c r="AF12" s="13">
        <f>SUBTOTAL(109,Desember[[30 ]])</f>
        <v>0</v>
      </c>
      <c r="AG12" s="13">
        <f>SUBTOTAL(109,Desember[31])</f>
        <v>0</v>
      </c>
      <c r="AH12" s="13">
        <f>SUBTOTAL(109,Desember[Total Hari])</f>
        <v>0</v>
      </c>
    </row>
  </sheetData>
  <mergeCells count="6">
    <mergeCell ref="C4:AG4"/>
    <mergeCell ref="D2:F2"/>
    <mergeCell ref="H2:J2"/>
    <mergeCell ref="L2:M2"/>
    <mergeCell ref="O2:Q2"/>
    <mergeCell ref="S2:U2"/>
  </mergeCells>
  <conditionalFormatting sqref="C7:AG11">
    <cfRule type="expression" priority="1" stopIfTrue="1">
      <formula>C7=""</formula>
    </cfRule>
  </conditionalFormatting>
  <conditionalFormatting sqref="C7:AG11">
    <cfRule type="expression" dxfId="73" priority="2" stopIfTrue="1">
      <formula>C7=KustomKunci2</formula>
    </cfRule>
    <cfRule type="expression" dxfId="72" priority="3" stopIfTrue="1">
      <formula>C7=Kustomkunci1</formula>
    </cfRule>
    <cfRule type="expression" dxfId="71" priority="4" stopIfTrue="1">
      <formula>C7=SakitKunci</formula>
    </cfRule>
    <cfRule type="expression" dxfId="70" priority="5" stopIfTrue="1">
      <formula>C7=PribadiKunci</formula>
    </cfRule>
    <cfRule type="expression" dxfId="69" priority="6" stopIfTrue="1">
      <formula>C7=LiburanKunci</formula>
    </cfRule>
  </conditionalFormatting>
  <conditionalFormatting sqref="AH7:AH11">
    <cfRule type="dataBar" priority="30">
      <dataBar>
        <cfvo type="min"/>
        <cfvo type="formula" val="DATEDIF(DATE(TahunKalender,2,1),DATE(TahunKalender,3,1),&quot;d&quot;)"/>
        <color theme="2" tint="-0.249977111117893"/>
      </dataBar>
      <extLst>
        <ext xmlns:x14="http://schemas.microsoft.com/office/spreadsheetml/2009/9/main" uri="{B025F937-C7B1-47D3-B67F-A62EFF666E3E}">
          <x14:id>{17586780-365B-4F4C-BBB4-F5991705D361}</x14:id>
        </ext>
      </extLst>
    </cfRule>
  </conditionalFormatting>
  <dataValidations count="14">
    <dataValidation allowBlank="1" showInputMessage="1" showErrorMessage="1" prompt="Tahun yang otomatis diperbarui berdasarkan tahun yang dimasukkan dalam lembar kerja Januari" sqref="AH4"/>
    <dataValidation allowBlank="1" showInputMessage="1" showErrorMessage="1" prompt="Otomatis menghitung total jumlah hari karyawan absen bulan ini di kolom ini" sqref="AH6"/>
    <dataValidation allowBlank="1" showInputMessage="1" showErrorMessage="1" prompt="Lacak absen bulan Desember di lembar kerja ini" sqref="A1"/>
    <dataValidation errorStyle="warning" allowBlank="1" showInputMessage="1" showErrorMessage="1" error="Pilih nama dari daftar. Pilih BATAL, lalu tekan ALT+PANAH BAWAH kemudian ENTER untuk memilih nama" prompt="Masukkan nama karyawan dalam lembar kerja Nama Karyawan lalu pilih salah satu nama tersebut dari daftar di kolom ini. Tekan ALT+PANAH BAWAH, lalu ENTER untuk memilih nama" sqref="B6"/>
    <dataValidation allowBlank="1" showInputMessage="1" showErrorMessage="1" prompt="Judul yang diperbarui secara otomatis ada di sel ini. Untuk mengubah judul, perbarui B1 di lembar kerja Januari" sqref="B1"/>
    <dataValidation allowBlank="1" showInputMessage="1" showErrorMessage="1" prompt="Huruf &quot;L&quot; menunjukkan absen karena liburan" sqref="C2"/>
    <dataValidation allowBlank="1" showInputMessage="1" showErrorMessage="1" prompt="Huruf &quot;P&quot; menunjukkan absen karena alasan pribadi" sqref="G2"/>
    <dataValidation allowBlank="1" showInputMessage="1" showErrorMessage="1" prompt="Huruf &quot;S&quot; menunjukkan absen karena sakit" sqref="K2"/>
    <dataValidation allowBlank="1" showInputMessage="1" showErrorMessage="1" prompt="Masukkan huruf dan sesuaikan label di sebelah kanan untuk menambahkan item kunci lain" sqref="N2 R2"/>
    <dataValidation allowBlank="1" showInputMessage="1" showErrorMessage="1" prompt="Masukkan label untuk mendeskripsikan kunci kustom di sebelah kiri" sqref="O2:Q2 S2:U2"/>
    <dataValidation allowBlank="1" showInputMessage="1" showErrorMessage="1" prompt="Baris ini menentukan kunci yang digunakan dalam tabel: sel C2 adalah Liburan, G2 adalah Pribadi, &amp; K2 adalah izin Sakit. Sel N2 &amp; R2 dapat disesuaikan " sqref="B2"/>
    <dataValidation allowBlank="1" showInputMessage="1" showErrorMessage="1" prompt="Nama bulan untuk jadwal absen ini ada di sel ini. Total absen untuk bulan ini ada di sel terakhir tabel. Pilih nama karyawan di kolom tabel B" sqref="B4"/>
    <dataValidation allowBlank="1" showInputMessage="1" showErrorMessage="1" prompt="Hari kerja di baris ini diperbarui secara otomatis untuk bulan terkait sesuai dengan tahun di AH4. Setiap hari dalam sebulan adalah kolom untuk mencatat jenis absen dan absen karyawan" sqref="C5"/>
    <dataValidation allowBlank="1" showInputMessage="1" showErrorMessage="1" prompt="Hari-hari dalam sebulan di baris ini dihasilkan secara otomatis. Masukkan jenis absen dan absen karyawan di setiap kolom untuk setiap hari dalam sebulan. Kosong berarti tidak ada absen" sqref="C6"/>
  </dataValidations>
  <printOptions horizontalCentered="1"/>
  <pageMargins left="0.25" right="0.25" top="0.75" bottom="0.75" header="0.3" footer="0.3"/>
  <pageSetup paperSize="9" scale="74" fitToHeight="0" orientation="landscape" verticalDpi="4294967293" r:id="rId1"/>
  <headerFooter differentFirst="1">
    <oddFooter>Page &amp;P of &amp;N</oddFoot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17586780-365B-4F4C-BBB4-F5991705D361}">
            <x14:dataBar minLength="0" maxLength="100">
              <x14:cfvo type="autoMin"/>
              <x14:cfvo type="formula">
                <xm:f>DATEDIF(DATE(TahunKalender,2,1),DATE(TahunKalender,3,1),"d")</xm:f>
              </x14:cfvo>
              <x14:negativeFillColor rgb="FFFF0000"/>
              <x14:axisColor rgb="FF000000"/>
            </x14:dataBar>
          </x14:cfRule>
          <xm:sqref>AH7:AH11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'Nama Karyawan'!$B$4:$B$8</xm:f>
          </x14:formula1>
          <xm:sqref>B7:B11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pageSetUpPr fitToPage="1"/>
  </sheetPr>
  <dimension ref="B1:B8"/>
  <sheetViews>
    <sheetView showGridLines="0" workbookViewId="0"/>
  </sheetViews>
  <sheetFormatPr defaultRowHeight="30" customHeight="1" x14ac:dyDescent="0.25"/>
  <cols>
    <col min="1" max="1" width="2.7109375" customWidth="1"/>
    <col min="2" max="2" width="30.7109375" customWidth="1"/>
    <col min="3" max="3" width="2.7109375" customWidth="1"/>
  </cols>
  <sheetData>
    <row r="1" spans="2:2" ht="50.1" customHeight="1" x14ac:dyDescent="0.25">
      <c r="B1" s="22" t="s">
        <v>3</v>
      </c>
    </row>
    <row r="2" spans="2:2" ht="15" customHeight="1" x14ac:dyDescent="0.25"/>
    <row r="3" spans="2:2" ht="30" customHeight="1" x14ac:dyDescent="0.25">
      <c r="B3" t="s">
        <v>3</v>
      </c>
    </row>
    <row r="4" spans="2:2" ht="30" customHeight="1" x14ac:dyDescent="0.25">
      <c r="B4" s="1" t="s">
        <v>4</v>
      </c>
    </row>
    <row r="5" spans="2:2" ht="30" customHeight="1" x14ac:dyDescent="0.25">
      <c r="B5" s="1" t="s">
        <v>5</v>
      </c>
    </row>
    <row r="6" spans="2:2" ht="30" customHeight="1" x14ac:dyDescent="0.25">
      <c r="B6" s="1" t="s">
        <v>6</v>
      </c>
    </row>
    <row r="7" spans="2:2" ht="30" customHeight="1" x14ac:dyDescent="0.25">
      <c r="B7" s="1" t="s">
        <v>7</v>
      </c>
    </row>
    <row r="8" spans="2:2" ht="30" customHeight="1" x14ac:dyDescent="0.25">
      <c r="B8" s="1" t="s">
        <v>8</v>
      </c>
    </row>
  </sheetData>
  <dataValidations count="3">
    <dataValidation allowBlank="1" showInputMessage="1" showErrorMessage="1" prompt="Judul nama karyawan" sqref="B1"/>
    <dataValidation allowBlank="1" showInputMessage="1" showErrorMessage="1" prompt="Masukan nama karyawan di tabel nama karyawan dalam lembar kerja ini. Nama ini digunakan sebagai opsi di Kolom B dari setiap tabel absen bulanan" sqref="A1"/>
    <dataValidation allowBlank="1" showInputMessage="1" showErrorMessage="1" prompt="Masukkan nama karyawan di kolom ini" sqref="B3"/>
  </dataValidations>
  <printOptions horizontalCentered="1"/>
  <pageMargins left="0.25" right="0.25" top="0.75" bottom="0.75" header="0.3" footer="0.3"/>
  <pageSetup paperSize="9" fitToHeight="0" orientation="landscape" verticalDpi="200" r:id="rId1"/>
  <headerFooter differentFirst="1">
    <oddFooter>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Lembar kerja</vt:lpstr>
      </vt:variant>
      <vt:variant>
        <vt:i4>13</vt:i4>
      </vt:variant>
      <vt:variant>
        <vt:lpstr>Rentang Bernama</vt:lpstr>
      </vt:variant>
      <vt:variant>
        <vt:i4>50</vt:i4>
      </vt:variant>
    </vt:vector>
  </HeadingPairs>
  <TitlesOfParts>
    <vt:vector size="63" baseType="lpstr">
      <vt:lpstr>Januari</vt:lpstr>
      <vt:lpstr>Februari</vt:lpstr>
      <vt:lpstr>Maret</vt:lpstr>
      <vt:lpstr>April</vt:lpstr>
      <vt:lpstr>Mei</vt:lpstr>
      <vt:lpstr>Juni</vt:lpstr>
      <vt:lpstr>Juli</vt:lpstr>
      <vt:lpstr>Agustus</vt:lpstr>
      <vt:lpstr>September</vt:lpstr>
      <vt:lpstr>Oktober</vt:lpstr>
      <vt:lpstr>November</vt:lpstr>
      <vt:lpstr>Desember</vt:lpstr>
      <vt:lpstr>Nama Karyawan</vt:lpstr>
      <vt:lpstr>Judul_Absen_Karyawan</vt:lpstr>
      <vt:lpstr>Judul1</vt:lpstr>
      <vt:lpstr>Judul10</vt:lpstr>
      <vt:lpstr>Judul11</vt:lpstr>
      <vt:lpstr>Judul12</vt:lpstr>
      <vt:lpstr>Judul2</vt:lpstr>
      <vt:lpstr>Judul3</vt:lpstr>
      <vt:lpstr>Judul4</vt:lpstr>
      <vt:lpstr>Judul5</vt:lpstr>
      <vt:lpstr>Judul6</vt:lpstr>
      <vt:lpstr>Judul7</vt:lpstr>
      <vt:lpstr>Judul8</vt:lpstr>
      <vt:lpstr>Judul9</vt:lpstr>
      <vt:lpstr>JudulKolom13</vt:lpstr>
      <vt:lpstr>Kustomkunci1</vt:lpstr>
      <vt:lpstr>KustomKunci2</vt:lpstr>
      <vt:lpstr>LabelKustomKunci1</vt:lpstr>
      <vt:lpstr>LabelKustomKunci2</vt:lpstr>
      <vt:lpstr>LabelLiburanKunci</vt:lpstr>
      <vt:lpstr>LabelPribadiKunci</vt:lpstr>
      <vt:lpstr>LabelSakitKunci</vt:lpstr>
      <vt:lpstr>LiburanKunci</vt:lpstr>
      <vt:lpstr>Nama_kunci</vt:lpstr>
      <vt:lpstr>Agustus!NamaBulan</vt:lpstr>
      <vt:lpstr>April!NamaBulan</vt:lpstr>
      <vt:lpstr>Desember!NamaBulan</vt:lpstr>
      <vt:lpstr>Februari!NamaBulan</vt:lpstr>
      <vt:lpstr>Januari!NamaBulan</vt:lpstr>
      <vt:lpstr>Juli!NamaBulan</vt:lpstr>
      <vt:lpstr>Juni!NamaBulan</vt:lpstr>
      <vt:lpstr>Maret!NamaBulan</vt:lpstr>
      <vt:lpstr>Mei!NamaBulan</vt:lpstr>
      <vt:lpstr>November!NamaBulan</vt:lpstr>
      <vt:lpstr>Oktober!NamaBulan</vt:lpstr>
      <vt:lpstr>September!NamaBulan</vt:lpstr>
      <vt:lpstr>PribadiKunci</vt:lpstr>
      <vt:lpstr>Agustus!Print_Titles</vt:lpstr>
      <vt:lpstr>April!Print_Titles</vt:lpstr>
      <vt:lpstr>Desember!Print_Titles</vt:lpstr>
      <vt:lpstr>Februari!Print_Titles</vt:lpstr>
      <vt:lpstr>Januari!Print_Titles</vt:lpstr>
      <vt:lpstr>Juli!Print_Titles</vt:lpstr>
      <vt:lpstr>Juni!Print_Titles</vt:lpstr>
      <vt:lpstr>Maret!Print_Titles</vt:lpstr>
      <vt:lpstr>Mei!Print_Titles</vt:lpstr>
      <vt:lpstr>November!Print_Titles</vt:lpstr>
      <vt:lpstr>Oktober!Print_Titles</vt:lpstr>
      <vt:lpstr>September!Print_Titles</vt:lpstr>
      <vt:lpstr>SakitKunci</vt:lpstr>
      <vt:lpstr>TahunKalender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terms:created xsi:type="dcterms:W3CDTF">2016-12-06T04:52:27Z</dcterms:created>
  <dcterms:modified xsi:type="dcterms:W3CDTF">2017-05-11T12:14:15Z</dcterms:modified>
</cp:coreProperties>
</file>